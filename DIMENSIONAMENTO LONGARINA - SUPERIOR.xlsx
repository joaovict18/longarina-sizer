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asmim\Downloads\LONGARINA\"/>
    </mc:Choice>
  </mc:AlternateContent>
  <xr:revisionPtr revIDLastSave="0" documentId="8_{481BAE7B-24BF-4D63-80E6-7E44F3BCF1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lculos" sheetId="2" r:id="rId1"/>
    <sheet name="Guia" sheetId="3" r:id="rId2"/>
  </sheets>
  <calcPr calcId="191029"/>
</workbook>
</file>

<file path=xl/calcChain.xml><?xml version="1.0" encoding="utf-8"?>
<calcChain xmlns="http://schemas.openxmlformats.org/spreadsheetml/2006/main">
  <c r="H24" i="2" l="1"/>
  <c r="H15" i="2"/>
  <c r="H9" i="2"/>
  <c r="H10" i="2"/>
  <c r="H11" i="2" s="1"/>
  <c r="H12" i="2" s="1"/>
  <c r="H13" i="2" s="1"/>
  <c r="H14" i="2" s="1"/>
  <c r="G24" i="2"/>
  <c r="G15" i="2"/>
  <c r="D57" i="2"/>
  <c r="G56" i="2"/>
  <c r="G7" i="2"/>
  <c r="G8" i="2" s="1"/>
  <c r="G9" i="2" s="1"/>
  <c r="G10" i="2" s="1"/>
  <c r="G11" i="2" s="1"/>
  <c r="G12" i="2" s="1"/>
  <c r="G13" i="2" s="1"/>
  <c r="G14" i="2" s="1"/>
  <c r="H52" i="2"/>
  <c r="G52" i="2"/>
  <c r="H39" i="2"/>
  <c r="G39" i="2"/>
  <c r="H2" i="2"/>
  <c r="G2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I15" i="2" l="1"/>
  <c r="L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H16" i="2"/>
  <c r="H17" i="2" s="1"/>
  <c r="H18" i="2" s="1"/>
  <c r="H19" i="2" s="1"/>
  <c r="H20" i="2" s="1"/>
  <c r="H21" i="2" s="1"/>
  <c r="H22" i="2" s="1"/>
  <c r="H23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53" i="2"/>
  <c r="H46" i="2"/>
  <c r="H47" i="2" s="1"/>
  <c r="H48" i="2" s="1"/>
  <c r="H49" i="2" s="1"/>
  <c r="H50" i="2" s="1"/>
  <c r="H51" i="2" s="1"/>
  <c r="H40" i="2"/>
  <c r="H41" i="2" s="1"/>
  <c r="H42" i="2" s="1"/>
  <c r="H43" i="2" s="1"/>
  <c r="H44" i="2" s="1"/>
  <c r="H45" i="2" s="1"/>
  <c r="H3" i="2"/>
  <c r="H4" i="2" s="1"/>
  <c r="H5" i="2" s="1"/>
  <c r="H6" i="2" s="1"/>
  <c r="H7" i="2" s="1"/>
  <c r="H8" i="2" s="1"/>
  <c r="G46" i="2"/>
  <c r="L39" i="2" l="1"/>
  <c r="I39" i="2"/>
  <c r="K39" i="2" s="1"/>
  <c r="H54" i="2"/>
  <c r="I2" i="2"/>
  <c r="K2" i="2" s="1"/>
  <c r="G3" i="2"/>
  <c r="G40" i="2"/>
  <c r="I40" i="2" l="1"/>
  <c r="K40" i="2" s="1"/>
  <c r="L40" i="2"/>
  <c r="M40" i="2" s="1"/>
  <c r="H55" i="2"/>
  <c r="G4" i="2"/>
  <c r="L3" i="2"/>
  <c r="M3" i="2" s="1"/>
  <c r="I3" i="2"/>
  <c r="K3" i="2" s="1"/>
  <c r="G41" i="2"/>
  <c r="N40" i="2" l="1"/>
  <c r="H56" i="2"/>
  <c r="N3" i="2"/>
  <c r="G5" i="2"/>
  <c r="G6" i="2" s="1"/>
  <c r="G42" i="2"/>
  <c r="L41" i="2" l="1"/>
  <c r="M41" i="2" s="1"/>
  <c r="I4" i="2"/>
  <c r="K4" i="2" s="1"/>
  <c r="L4" i="2"/>
  <c r="M4" i="2" s="1"/>
  <c r="N4" i="2" s="1"/>
  <c r="I41" i="2"/>
  <c r="K41" i="2" s="1"/>
  <c r="N41" i="2"/>
  <c r="L42" i="2"/>
  <c r="M42" i="2" s="1"/>
  <c r="I42" i="2"/>
  <c r="K42" i="2" s="1"/>
  <c r="H57" i="2"/>
  <c r="H58" i="2" s="1"/>
  <c r="L5" i="2"/>
  <c r="I5" i="2"/>
  <c r="K5" i="2" s="1"/>
  <c r="G43" i="2"/>
  <c r="H59" i="2" l="1"/>
  <c r="M5" i="2"/>
  <c r="N42" i="2"/>
  <c r="I43" i="2"/>
  <c r="K43" i="2" s="1"/>
  <c r="L43" i="2"/>
  <c r="M43" i="2" s="1"/>
  <c r="N5" i="2"/>
  <c r="L6" i="2"/>
  <c r="M6" i="2" s="1"/>
  <c r="I6" i="2"/>
  <c r="K6" i="2" s="1"/>
  <c r="G44" i="2"/>
  <c r="H60" i="2" l="1"/>
  <c r="N43" i="2"/>
  <c r="L44" i="2"/>
  <c r="M44" i="2" s="1"/>
  <c r="I44" i="2"/>
  <c r="K44" i="2" s="1"/>
  <c r="N6" i="2"/>
  <c r="G16" i="2"/>
  <c r="G45" i="2"/>
  <c r="G47" i="2"/>
  <c r="H61" i="2" l="1"/>
  <c r="L9" i="2"/>
  <c r="I46" i="2"/>
  <c r="K46" i="2" s="1"/>
  <c r="I9" i="2"/>
  <c r="K9" i="2" s="1"/>
  <c r="L46" i="2"/>
  <c r="I47" i="2"/>
  <c r="K47" i="2" s="1"/>
  <c r="L47" i="2"/>
  <c r="I45" i="2"/>
  <c r="K45" i="2" s="1"/>
  <c r="L45" i="2"/>
  <c r="M45" i="2" s="1"/>
  <c r="N44" i="2"/>
  <c r="G17" i="2"/>
  <c r="G48" i="2"/>
  <c r="H62" i="2" l="1"/>
  <c r="M46" i="2"/>
  <c r="M47" i="2" s="1"/>
  <c r="I10" i="2"/>
  <c r="K10" i="2" s="1"/>
  <c r="L10" i="2"/>
  <c r="I48" i="2"/>
  <c r="K48" i="2" s="1"/>
  <c r="N45" i="2"/>
  <c r="G18" i="2"/>
  <c r="G49" i="2"/>
  <c r="H63" i="2" l="1"/>
  <c r="N46" i="2"/>
  <c r="N47" i="2" s="1"/>
  <c r="L48" i="2"/>
  <c r="M48" i="2" s="1"/>
  <c r="I11" i="2"/>
  <c r="K11" i="2" s="1"/>
  <c r="L11" i="2"/>
  <c r="I49" i="2"/>
  <c r="K49" i="2" s="1"/>
  <c r="L49" i="2"/>
  <c r="G19" i="2"/>
  <c r="G50" i="2"/>
  <c r="H64" i="2" l="1"/>
  <c r="N48" i="2"/>
  <c r="M49" i="2"/>
  <c r="L50" i="2"/>
  <c r="L12" i="2"/>
  <c r="I12" i="2"/>
  <c r="K12" i="2" s="1"/>
  <c r="G20" i="2"/>
  <c r="G21" i="2" s="1"/>
  <c r="G51" i="2"/>
  <c r="H65" i="2" l="1"/>
  <c r="G22" i="2"/>
  <c r="L21" i="2"/>
  <c r="I21" i="2"/>
  <c r="K21" i="2" s="1"/>
  <c r="N49" i="2"/>
  <c r="M50" i="2"/>
  <c r="I50" i="2"/>
  <c r="K50" i="2" s="1"/>
  <c r="I13" i="2"/>
  <c r="K13" i="2" s="1"/>
  <c r="L13" i="2"/>
  <c r="L51" i="2"/>
  <c r="I51" i="2"/>
  <c r="K51" i="2" s="1"/>
  <c r="H66" i="2" l="1"/>
  <c r="G23" i="2"/>
  <c r="L22" i="2"/>
  <c r="I22" i="2"/>
  <c r="K22" i="2" s="1"/>
  <c r="N50" i="2"/>
  <c r="M51" i="2"/>
  <c r="L14" i="2"/>
  <c r="I14" i="2"/>
  <c r="K14" i="2" s="1"/>
  <c r="G53" i="2"/>
  <c r="H67" i="2" l="1"/>
  <c r="L23" i="2"/>
  <c r="I23" i="2"/>
  <c r="K23" i="2" s="1"/>
  <c r="N51" i="2"/>
  <c r="I52" i="2"/>
  <c r="K52" i="2" s="1"/>
  <c r="K15" i="2"/>
  <c r="L52" i="2"/>
  <c r="M52" i="2" s="1"/>
  <c r="L15" i="2"/>
  <c r="L53" i="2"/>
  <c r="I53" i="2"/>
  <c r="K53" i="2" s="1"/>
  <c r="G54" i="2"/>
  <c r="H68" i="2" l="1"/>
  <c r="G25" i="2"/>
  <c r="L24" i="2"/>
  <c r="I24" i="2"/>
  <c r="K24" i="2" s="1"/>
  <c r="N52" i="2"/>
  <c r="M53" i="2"/>
  <c r="N53" i="2" s="1"/>
  <c r="I16" i="2"/>
  <c r="K16" i="2" s="1"/>
  <c r="L16" i="2"/>
  <c r="L54" i="2"/>
  <c r="I54" i="2"/>
  <c r="K54" i="2" s="1"/>
  <c r="G55" i="2"/>
  <c r="H69" i="2" l="1"/>
  <c r="G26" i="2"/>
  <c r="L25" i="2"/>
  <c r="I25" i="2"/>
  <c r="K25" i="2" s="1"/>
  <c r="M54" i="2"/>
  <c r="N54" i="2" s="1"/>
  <c r="L17" i="2"/>
  <c r="I17" i="2"/>
  <c r="K17" i="2" s="1"/>
  <c r="L55" i="2"/>
  <c r="H70" i="2" l="1"/>
  <c r="G27" i="2"/>
  <c r="I26" i="2"/>
  <c r="K26" i="2" s="1"/>
  <c r="L26" i="2"/>
  <c r="M55" i="2"/>
  <c r="N55" i="2" s="1"/>
  <c r="I55" i="2"/>
  <c r="K55" i="2" s="1"/>
  <c r="L18" i="2"/>
  <c r="I18" i="2"/>
  <c r="K18" i="2" s="1"/>
  <c r="L56" i="2"/>
  <c r="I56" i="2"/>
  <c r="K56" i="2" s="1"/>
  <c r="G57" i="2"/>
  <c r="G58" i="2" s="1"/>
  <c r="G59" i="2" l="1"/>
  <c r="L58" i="2"/>
  <c r="I58" i="2"/>
  <c r="K58" i="2" s="1"/>
  <c r="H71" i="2"/>
  <c r="G28" i="2"/>
  <c r="I27" i="2"/>
  <c r="K27" i="2" s="1"/>
  <c r="L27" i="2"/>
  <c r="M56" i="2"/>
  <c r="N56" i="2" s="1"/>
  <c r="I19" i="2"/>
  <c r="K19" i="2" s="1"/>
  <c r="L19" i="2"/>
  <c r="L57" i="2"/>
  <c r="I57" i="2"/>
  <c r="K57" i="2" s="1"/>
  <c r="H72" i="2" l="1"/>
  <c r="G60" i="2"/>
  <c r="L59" i="2"/>
  <c r="I59" i="2"/>
  <c r="K59" i="2" s="1"/>
  <c r="G29" i="2"/>
  <c r="I28" i="2"/>
  <c r="K28" i="2" s="1"/>
  <c r="L28" i="2"/>
  <c r="M57" i="2"/>
  <c r="I20" i="2"/>
  <c r="K20" i="2" s="1"/>
  <c r="L20" i="2"/>
  <c r="L7" i="2"/>
  <c r="M7" i="2" s="1"/>
  <c r="N7" i="2" s="1"/>
  <c r="I8" i="2"/>
  <c r="K8" i="2" s="1"/>
  <c r="I7" i="2"/>
  <c r="K7" i="2" s="1"/>
  <c r="N57" i="2" l="1"/>
  <c r="M58" i="2"/>
  <c r="M59" i="2" s="1"/>
  <c r="G61" i="2"/>
  <c r="L60" i="2"/>
  <c r="I60" i="2"/>
  <c r="K60" i="2" s="1"/>
  <c r="H73" i="2"/>
  <c r="G30" i="2"/>
  <c r="L29" i="2"/>
  <c r="I29" i="2"/>
  <c r="K29" i="2" s="1"/>
  <c r="L8" i="2"/>
  <c r="M8" i="2" s="1"/>
  <c r="G62" i="2" l="1"/>
  <c r="L61" i="2"/>
  <c r="I61" i="2"/>
  <c r="K61" i="2" s="1"/>
  <c r="M60" i="2"/>
  <c r="M61" i="2" s="1"/>
  <c r="N58" i="2"/>
  <c r="N59" i="2" s="1"/>
  <c r="G31" i="2"/>
  <c r="L30" i="2"/>
  <c r="I30" i="2"/>
  <c r="K30" i="2" s="1"/>
  <c r="M9" i="2"/>
  <c r="M10" i="2" s="1"/>
  <c r="M11" i="2" s="1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N8" i="2"/>
  <c r="N60" i="2" l="1"/>
  <c r="N61" i="2" s="1"/>
  <c r="G63" i="2"/>
  <c r="L62" i="2"/>
  <c r="M62" i="2" s="1"/>
  <c r="I62" i="2"/>
  <c r="K62" i="2" s="1"/>
  <c r="M30" i="2"/>
  <c r="G32" i="2"/>
  <c r="L31" i="2"/>
  <c r="I31" i="2"/>
  <c r="K31" i="2" s="1"/>
  <c r="N9" i="2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M31" i="2" l="1"/>
  <c r="N62" i="2"/>
  <c r="G64" i="2"/>
  <c r="L63" i="2"/>
  <c r="M63" i="2" s="1"/>
  <c r="I63" i="2"/>
  <c r="K63" i="2" s="1"/>
  <c r="N30" i="2"/>
  <c r="G33" i="2"/>
  <c r="L32" i="2"/>
  <c r="I32" i="2"/>
  <c r="K32" i="2" s="1"/>
  <c r="M32" i="2" l="1"/>
  <c r="N31" i="2"/>
  <c r="N32" i="2" s="1"/>
  <c r="G65" i="2"/>
  <c r="L64" i="2"/>
  <c r="M64" i="2" s="1"/>
  <c r="I64" i="2"/>
  <c r="K64" i="2" s="1"/>
  <c r="N63" i="2"/>
  <c r="G34" i="2"/>
  <c r="L33" i="2"/>
  <c r="I33" i="2"/>
  <c r="K33" i="2" s="1"/>
  <c r="M33" i="2" l="1"/>
  <c r="N64" i="2"/>
  <c r="G66" i="2"/>
  <c r="L65" i="2"/>
  <c r="M65" i="2" s="1"/>
  <c r="I65" i="2"/>
  <c r="K65" i="2" s="1"/>
  <c r="N33" i="2"/>
  <c r="G35" i="2"/>
  <c r="L34" i="2"/>
  <c r="M34" i="2" s="1"/>
  <c r="I34" i="2"/>
  <c r="K34" i="2" s="1"/>
  <c r="G67" i="2" l="1"/>
  <c r="L66" i="2"/>
  <c r="M66" i="2" s="1"/>
  <c r="I66" i="2"/>
  <c r="K66" i="2" s="1"/>
  <c r="N65" i="2"/>
  <c r="G36" i="2"/>
  <c r="L35" i="2"/>
  <c r="M35" i="2" s="1"/>
  <c r="I35" i="2"/>
  <c r="K35" i="2" s="1"/>
  <c r="N34" i="2"/>
  <c r="N66" i="2" l="1"/>
  <c r="G68" i="2"/>
  <c r="L67" i="2"/>
  <c r="M67" i="2" s="1"/>
  <c r="I67" i="2"/>
  <c r="K67" i="2" s="1"/>
  <c r="N35" i="2"/>
  <c r="I36" i="2"/>
  <c r="K36" i="2" s="1"/>
  <c r="L36" i="2"/>
  <c r="M36" i="2" s="1"/>
  <c r="G69" i="2" l="1"/>
  <c r="L68" i="2"/>
  <c r="M68" i="2" s="1"/>
  <c r="I68" i="2"/>
  <c r="K68" i="2" s="1"/>
  <c r="N67" i="2"/>
  <c r="N36" i="2"/>
  <c r="N68" i="2" l="1"/>
  <c r="G70" i="2"/>
  <c r="L69" i="2"/>
  <c r="M69" i="2" s="1"/>
  <c r="I69" i="2"/>
  <c r="K69" i="2" s="1"/>
  <c r="G71" i="2" l="1"/>
  <c r="L70" i="2"/>
  <c r="M70" i="2" s="1"/>
  <c r="I70" i="2"/>
  <c r="K70" i="2" s="1"/>
  <c r="N69" i="2"/>
  <c r="N70" i="2" l="1"/>
  <c r="G72" i="2"/>
  <c r="L71" i="2"/>
  <c r="M71" i="2" s="1"/>
  <c r="I71" i="2"/>
  <c r="K71" i="2" s="1"/>
  <c r="G73" i="2" l="1"/>
  <c r="L72" i="2"/>
  <c r="M72" i="2" s="1"/>
  <c r="I72" i="2"/>
  <c r="K72" i="2" s="1"/>
  <c r="N71" i="2"/>
  <c r="N72" i="2" l="1"/>
  <c r="L73" i="2"/>
  <c r="M73" i="2" s="1"/>
  <c r="I73" i="2"/>
  <c r="K73" i="2" s="1"/>
  <c r="N7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Iasmim</author>
  </authors>
  <commentList>
    <comment ref="A6" authorId="0" shapeId="0" xr:uid="{C6005BB8-69BF-43A2-90B1-2FE4EDF1A812}">
      <text>
        <r>
          <rPr>
            <b/>
            <sz val="9"/>
            <color indexed="81"/>
            <rFont val="Segoe UI"/>
            <charset val="1"/>
          </rPr>
          <t>Iasmim:</t>
        </r>
        <r>
          <rPr>
            <sz val="9"/>
            <color indexed="81"/>
            <rFont val="Segoe UI"/>
            <charset val="1"/>
          </rPr>
          <t xml:space="preserve">
No máximo 3
</t>
        </r>
      </text>
    </comment>
  </commentList>
</comments>
</file>

<file path=xl/sharedStrings.xml><?xml version="1.0" encoding="utf-8"?>
<sst xmlns="http://schemas.openxmlformats.org/spreadsheetml/2006/main" count="124" uniqueCount="41">
  <si>
    <t>SEÇÕES BALSA</t>
  </si>
  <si>
    <t>SEÇÕES TUBO CARBONO</t>
  </si>
  <si>
    <t>Seção</t>
  </si>
  <si>
    <t>Início y (m)</t>
  </si>
  <si>
    <t>Fim y (m)</t>
  </si>
  <si>
    <t>Posição y (m)</t>
  </si>
  <si>
    <t>Força Sust (N)</t>
  </si>
  <si>
    <t>dy (m)</t>
  </si>
  <si>
    <t>Cortante V (N)</t>
  </si>
  <si>
    <t>Momento M (N.m)</t>
  </si>
  <si>
    <t>Tipo</t>
  </si>
  <si>
    <t>I (m^4)</t>
  </si>
  <si>
    <t>c (m)</t>
  </si>
  <si>
    <t>FS real</t>
  </si>
  <si>
    <t>M/EI</t>
  </si>
  <si>
    <t>Deflexão aprox (m)</t>
  </si>
  <si>
    <t>Balsa</t>
  </si>
  <si>
    <t>Base b (m)</t>
  </si>
  <si>
    <t>Altura h (m)</t>
  </si>
  <si>
    <t>D externo (m)</t>
  </si>
  <si>
    <t>Espessura (m)</t>
  </si>
  <si>
    <t>Fibra de carbono</t>
  </si>
  <si>
    <t>Espessura de Balsa</t>
  </si>
  <si>
    <t>(m)</t>
  </si>
  <si>
    <t>Ângulo</t>
  </si>
  <si>
    <t>Módulo de elasticidade</t>
  </si>
  <si>
    <t xml:space="preserve">Balsa </t>
  </si>
  <si>
    <t>Fibra de Carbono</t>
  </si>
  <si>
    <t>Sigma adm (Pa)</t>
  </si>
  <si>
    <t>Sigma (Pa)</t>
  </si>
  <si>
    <t>REQUISITOS</t>
  </si>
  <si>
    <t>De máx:</t>
  </si>
  <si>
    <t>x</t>
  </si>
  <si>
    <t>BALSA (m/kg)</t>
  </si>
  <si>
    <t>TUBO (m/kg)</t>
  </si>
  <si>
    <t>Espessura máxima</t>
  </si>
  <si>
    <t>Altura máxima (hmáx)</t>
  </si>
  <si>
    <t>Base máxima (bmáx)</t>
  </si>
  <si>
    <t xml:space="preserve">Variação de seções </t>
  </si>
  <si>
    <t>FS &gt;= 1,5</t>
  </si>
  <si>
    <t>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</si>
</sst>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b/>
      <sz val="11"/>
      <name val="Calibri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6" fillId="0" borderId="0" xfId="0" applyFont="1"/>
    <xf numFmtId="3" fontId="7" fillId="0" borderId="0" xfId="0" applyNumberFormat="1" applyFont="1"/>
    <xf numFmtId="0" fontId="3" fillId="0" borderId="1" xfId="0" applyFont="1" applyBorder="1"/>
    <xf numFmtId="0" fontId="0" fillId="0" borderId="1" xfId="0" applyBorder="1"/>
    <xf numFmtId="0" fontId="1" fillId="0" borderId="0" xfId="0" applyFont="1" applyFill="1"/>
    <xf numFmtId="0" fontId="6" fillId="0" borderId="0" xfId="0" applyFont="1" applyFill="1"/>
    <xf numFmtId="164" fontId="0" fillId="0" borderId="1" xfId="0" applyNumberFormat="1" applyFill="1" applyBorder="1"/>
    <xf numFmtId="0" fontId="2" fillId="0" borderId="0" xfId="0" applyFont="1" applyFill="1"/>
    <xf numFmtId="0" fontId="0" fillId="0" borderId="0" xfId="0" applyFill="1"/>
    <xf numFmtId="3" fontId="7" fillId="0" borderId="0" xfId="0" applyNumberFormat="1" applyFont="1" applyFill="1"/>
    <xf numFmtId="0" fontId="3" fillId="0" borderId="0" xfId="0" applyFont="1" applyFill="1"/>
  </cellXfs>
  <cellStyles count="1">
    <cellStyle name="Normal" xfId="0" builtinId="0"/>
  </cellStyles>
  <dxfs count="2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Momento Fletor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Calculos!$A$1</c:f>
              <c:strCache>
                <c:ptCount val="1"/>
                <c:pt idx="0">
                  <c:v>Posição y (m)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Calculos!$A$2:$A$20</c:f>
              <c:numCache>
                <c:formatCode>0.000000000</c:formatCode>
                <c:ptCount val="19"/>
                <c:pt idx="0">
                  <c:v>2.2360841999999999E-2</c:v>
                </c:pt>
                <c:pt idx="1">
                  <c:v>6.6944665E-2</c:v>
                </c:pt>
                <c:pt idx="2">
                  <c:v>0.111115751</c:v>
                </c:pt>
                <c:pt idx="3">
                  <c:v>0.154601772</c:v>
                </c:pt>
                <c:pt idx="4">
                  <c:v>0.19713462200000001</c:v>
                </c:pt>
                <c:pt idx="5">
                  <c:v>0.23845207099999999</c:v>
                </c:pt>
                <c:pt idx="6">
                  <c:v>0.27829938300000001</c:v>
                </c:pt>
                <c:pt idx="7">
                  <c:v>0.31643088800000002</c:v>
                </c:pt>
                <c:pt idx="8">
                  <c:v>0.352611491</c:v>
                </c:pt>
                <c:pt idx="9">
                  <c:v>0.38661812600000001</c:v>
                </c:pt>
                <c:pt idx="10">
                  <c:v>0.41824113299999999</c:v>
                </c:pt>
                <c:pt idx="11">
                  <c:v>0.44728554399999998</c:v>
                </c:pt>
                <c:pt idx="12">
                  <c:v>0.47357229000000001</c:v>
                </c:pt>
                <c:pt idx="13">
                  <c:v>0.49693930600000003</c:v>
                </c:pt>
                <c:pt idx="14">
                  <c:v>0.51724252599999998</c:v>
                </c:pt>
                <c:pt idx="15">
                  <c:v>0.53435677400000003</c:v>
                </c:pt>
                <c:pt idx="16">
                  <c:v>0.54817653499999996</c:v>
                </c:pt>
                <c:pt idx="17">
                  <c:v>0.55861660400000002</c:v>
                </c:pt>
                <c:pt idx="18">
                  <c:v>0.56561261699999998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474-444D-9E8D-63AFA1D4C912}"/>
            </c:ext>
          </c:extLst>
        </c:ser>
        <c:ser>
          <c:idx val="1"/>
          <c:order val="1"/>
          <c:tx>
            <c:strRef>
              <c:f>Calculos!$E$1</c:f>
              <c:strCache>
                <c:ptCount val="1"/>
                <c:pt idx="0">
                  <c:v>Momento M (N.m)</c:v>
                </c:pt>
              </c:strCache>
            </c:strRef>
          </c:tx>
          <c:marker>
            <c:symbol val="none"/>
          </c:marker>
          <c:val>
            <c:numRef>
              <c:f>Calculos!$E$2:$E$20</c:f>
              <c:numCache>
                <c:formatCode>General</c:formatCode>
                <c:ptCount val="19"/>
                <c:pt idx="0">
                  <c:v>61.176327890000003</c:v>
                </c:pt>
                <c:pt idx="1">
                  <c:v>55.28100817</c:v>
                </c:pt>
                <c:pt idx="2">
                  <c:v>49.729890300000001</c:v>
                </c:pt>
                <c:pt idx="3">
                  <c:v>44.549330830000002</c:v>
                </c:pt>
                <c:pt idx="4">
                  <c:v>39.757651070000001</c:v>
                </c:pt>
                <c:pt idx="5">
                  <c:v>35.365393410000003</c:v>
                </c:pt>
                <c:pt idx="6">
                  <c:v>31.375774539999998</c:v>
                </c:pt>
                <c:pt idx="7">
                  <c:v>27.78531534</c:v>
                </c:pt>
                <c:pt idx="8">
                  <c:v>24.584621599999998</c:v>
                </c:pt>
                <c:pt idx="9">
                  <c:v>21.75928588</c:v>
                </c:pt>
                <c:pt idx="10">
                  <c:v>19.290877800000001</c:v>
                </c:pt>
                <c:pt idx="11">
                  <c:v>17.157987869999999</c:v>
                </c:pt>
                <c:pt idx="12">
                  <c:v>15.33728984</c:v>
                </c:pt>
                <c:pt idx="13">
                  <c:v>13.80458673</c:v>
                </c:pt>
                <c:pt idx="14">
                  <c:v>12.535808429999999</c:v>
                </c:pt>
                <c:pt idx="15">
                  <c:v>11.507932459999999</c:v>
                </c:pt>
                <c:pt idx="16">
                  <c:v>10.699804930000001</c:v>
                </c:pt>
                <c:pt idx="17">
                  <c:v>10.09284527</c:v>
                </c:pt>
                <c:pt idx="18">
                  <c:v>9.6716246740000003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07-417C-A1CB-CC6DC4E82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overlay val="0"/>
        </c:title>
        <c:numFmt formatCode="0.000000000" sourceLinked="1"/>
        <c:majorTickMark val="none"/>
        <c:minorTickMark val="none"/>
        <c:tickLblPos val="nextTo"/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TENSÃO</a:t>
            </a:r>
            <a:r>
              <a:rPr lang="pt-BR" baseline="0"/>
              <a:t> EM BALSA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Calculos!$I$1</c:f>
              <c:strCache>
                <c:ptCount val="1"/>
                <c:pt idx="0">
                  <c:v>Sigma (Pa)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Calculos!$I$2:$I$20</c:f>
              <c:numCache>
                <c:formatCode>General</c:formatCode>
                <c:ptCount val="19"/>
                <c:pt idx="0">
                  <c:v>8192801.011997099</c:v>
                </c:pt>
                <c:pt idx="1">
                  <c:v>7403293.3211316327</c:v>
                </c:pt>
                <c:pt idx="2">
                  <c:v>6659881.5200044643</c:v>
                </c:pt>
                <c:pt idx="3">
                  <c:v>5966095.3067351151</c:v>
                </c:pt>
                <c:pt idx="4">
                  <c:v>5324388.2912783884</c:v>
                </c:pt>
                <c:pt idx="5">
                  <c:v>4736172.3220802406</c:v>
                </c:pt>
                <c:pt idx="6">
                  <c:v>4201878.18179789</c:v>
                </c:pt>
                <c:pt idx="7">
                  <c:v>3721039.9428603314</c:v>
                </c:pt>
                <c:pt idx="8">
                  <c:v>3292399.5223480826</c:v>
                </c:pt>
                <c:pt idx="9">
                  <c:v>2914027.4600747721</c:v>
                </c:pt>
                <c:pt idx="10">
                  <c:v>2583455.5393114225</c:v>
                </c:pt>
                <c:pt idx="11">
                  <c:v>2297816.5776463365</c:v>
                </c:pt>
                <c:pt idx="12">
                  <c:v>2053986.698063724</c:v>
                </c:pt>
                <c:pt idx="13">
                  <c:v>6163862.6227897853</c:v>
                </c:pt>
                <c:pt idx="14">
                  <c:v>5597342.5745668877</c:v>
                </c:pt>
                <c:pt idx="15">
                  <c:v>5138387.4173959633</c:v>
                </c:pt>
                <c:pt idx="16">
                  <c:v>4777551.7637078054</c:v>
                </c:pt>
                <c:pt idx="17">
                  <c:v>4506539.2346847663</c:v>
                </c:pt>
                <c:pt idx="18">
                  <c:v>4318460.7403107705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91-4E89-BC36-1DCDA080058F}"/>
            </c:ext>
          </c:extLst>
        </c:ser>
        <c:ser>
          <c:idx val="1"/>
          <c:order val="1"/>
          <c:tx>
            <c:strRef>
              <c:f>Calculos!$J$1</c:f>
              <c:strCache>
                <c:ptCount val="1"/>
                <c:pt idx="0">
                  <c:v>Sigma adm (Pa)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Calculos!$J$2:$J$20</c:f>
              <c:numCache>
                <c:formatCode>#,##0</c:formatCode>
                <c:ptCount val="19"/>
                <c:pt idx="0">
                  <c:v>15000000</c:v>
                </c:pt>
                <c:pt idx="1">
                  <c:v>15000000</c:v>
                </c:pt>
                <c:pt idx="2">
                  <c:v>15000000</c:v>
                </c:pt>
                <c:pt idx="3">
                  <c:v>15000000</c:v>
                </c:pt>
                <c:pt idx="4">
                  <c:v>15000000</c:v>
                </c:pt>
                <c:pt idx="5">
                  <c:v>15000000</c:v>
                </c:pt>
                <c:pt idx="6">
                  <c:v>15000000</c:v>
                </c:pt>
                <c:pt idx="7">
                  <c:v>15000000</c:v>
                </c:pt>
                <c:pt idx="8">
                  <c:v>15000000</c:v>
                </c:pt>
                <c:pt idx="9">
                  <c:v>15000000</c:v>
                </c:pt>
                <c:pt idx="10">
                  <c:v>15000000</c:v>
                </c:pt>
                <c:pt idx="11">
                  <c:v>15000000</c:v>
                </c:pt>
                <c:pt idx="12">
                  <c:v>15000000</c:v>
                </c:pt>
                <c:pt idx="13">
                  <c:v>15000000</c:v>
                </c:pt>
                <c:pt idx="14">
                  <c:v>15000000</c:v>
                </c:pt>
                <c:pt idx="15">
                  <c:v>15000000</c:v>
                </c:pt>
                <c:pt idx="16">
                  <c:v>15000000</c:v>
                </c:pt>
                <c:pt idx="17">
                  <c:v>15000000</c:v>
                </c:pt>
                <c:pt idx="18">
                  <c:v>15000000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91-4E89-BC36-1DCDA080058F}"/>
            </c:ext>
          </c:extLst>
        </c:ser>
        <c:ser>
          <c:idx val="2"/>
          <c:order val="2"/>
          <c:tx>
            <c:strRef>
              <c:f>Calculos!$K$1</c:f>
              <c:strCache>
                <c:ptCount val="1"/>
                <c:pt idx="0">
                  <c:v>FS real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Calculos!$K$2:$K$20</c:f>
              <c:numCache>
                <c:formatCode>General</c:formatCode>
                <c:ptCount val="19"/>
                <c:pt idx="0">
                  <c:v>1.8308756648714894</c:v>
                </c:pt>
                <c:pt idx="1">
                  <c:v>2.0261253133365207</c:v>
                </c:pt>
                <c:pt idx="2">
                  <c:v>2.2522923200576614</c:v>
                </c:pt>
                <c:pt idx="3">
                  <c:v>2.5142072375321467</c:v>
                </c:pt>
                <c:pt idx="4">
                  <c:v>2.8172250368311311</c:v>
                </c:pt>
                <c:pt idx="5">
                  <c:v>3.16711449244981</c:v>
                </c:pt>
                <c:pt idx="6">
                  <c:v>3.5698321919418032</c:v>
                </c:pt>
                <c:pt idx="7">
                  <c:v>4.0311311435344681</c:v>
                </c:pt>
                <c:pt idx="8">
                  <c:v>4.5559476904863168</c:v>
                </c:pt>
                <c:pt idx="9">
                  <c:v>5.1475149790163988</c:v>
                </c:pt>
                <c:pt idx="10">
                  <c:v>5.8061769485678871</c:v>
                </c:pt>
                <c:pt idx="11">
                  <c:v>6.5279361920891725</c:v>
                </c:pt>
                <c:pt idx="12">
                  <c:v>7.3028710527387419</c:v>
                </c:pt>
                <c:pt idx="13">
                  <c:v>2.4335389865017705</c:v>
                </c:pt>
                <c:pt idx="14">
                  <c:v>2.6798431220123549</c:v>
                </c:pt>
                <c:pt idx="15">
                  <c:v>2.9192037854556543</c:v>
                </c:pt>
                <c:pt idx="16">
                  <c:v>3.1396834072936688</c:v>
                </c:pt>
                <c:pt idx="17">
                  <c:v>3.3284964845200675</c:v>
                </c:pt>
                <c:pt idx="18">
                  <c:v>3.4734598510951269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91-4E89-BC36-1DCDA0800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3269616"/>
        <c:axId val="303272016"/>
      </c:lineChart>
      <c:catAx>
        <c:axId val="30326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3272016"/>
        <c:crosses val="autoZero"/>
        <c:auto val="1"/>
        <c:lblAlgn val="ctr"/>
        <c:lblOffset val="100"/>
        <c:noMultiLvlLbl val="0"/>
      </c:catAx>
      <c:valAx>
        <c:axId val="30327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3269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TENSÃO</a:t>
            </a:r>
            <a:r>
              <a:rPr lang="pt-BR" baseline="0"/>
              <a:t> EM FIBRA DE CARBONO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Calculos!$I$38</c:f>
              <c:strCache>
                <c:ptCount val="1"/>
                <c:pt idx="0">
                  <c:v>Sigma (Pa)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Calculos!$I$39:$I$57</c:f>
              <c:numCache>
                <c:formatCode>General</c:formatCode>
                <c:ptCount val="19"/>
                <c:pt idx="0">
                  <c:v>52489719.917269863</c:v>
                </c:pt>
                <c:pt idx="1">
                  <c:v>47431494.103488386</c:v>
                </c:pt>
                <c:pt idx="2">
                  <c:v>42668595.899660744</c:v>
                </c:pt>
                <c:pt idx="3">
                  <c:v>38223639.411196694</c:v>
                </c:pt>
                <c:pt idx="4">
                  <c:v>34112344.45103018</c:v>
                </c:pt>
                <c:pt idx="5">
                  <c:v>30343756.463983499</c:v>
                </c:pt>
                <c:pt idx="6">
                  <c:v>26920635.392717205</c:v>
                </c:pt>
                <c:pt idx="7">
                  <c:v>37961088.864676587</c:v>
                </c:pt>
                <c:pt idx="8">
                  <c:v>33588209.953425251</c:v>
                </c:pt>
                <c:pt idx="9">
                  <c:v>29728155.8555305</c:v>
                </c:pt>
                <c:pt idx="10">
                  <c:v>26355746.461123906</c:v>
                </c:pt>
                <c:pt idx="11">
                  <c:v>23441731.515439872</c:v>
                </c:pt>
                <c:pt idx="12">
                  <c:v>20954242.031630702</c:v>
                </c:pt>
                <c:pt idx="13">
                  <c:v>34605176.157563098</c:v>
                </c:pt>
                <c:pt idx="14">
                  <c:v>31424617.591403581</c:v>
                </c:pt>
                <c:pt idx="15">
                  <c:v>28847950.161535796</c:v>
                </c:pt>
                <c:pt idx="16">
                  <c:v>26822145.544534683</c:v>
                </c:pt>
                <c:pt idx="17">
                  <c:v>25300626.185379289</c:v>
                </c:pt>
                <c:pt idx="18">
                  <c:v>24244715.334089816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7C-487D-AB55-CF00F68D0B36}"/>
            </c:ext>
          </c:extLst>
        </c:ser>
        <c:ser>
          <c:idx val="1"/>
          <c:order val="1"/>
          <c:tx>
            <c:strRef>
              <c:f>Calculos!$J$38</c:f>
              <c:strCache>
                <c:ptCount val="1"/>
                <c:pt idx="0">
                  <c:v>Sigma adm (Pa)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Calculos!$J$39:$J$57</c:f>
              <c:numCache>
                <c:formatCode>General</c:formatCode>
                <c:ptCount val="19"/>
                <c:pt idx="0">
                  <c:v>650000000</c:v>
                </c:pt>
                <c:pt idx="1">
                  <c:v>650000000</c:v>
                </c:pt>
                <c:pt idx="2">
                  <c:v>650000000</c:v>
                </c:pt>
                <c:pt idx="3">
                  <c:v>650000000</c:v>
                </c:pt>
                <c:pt idx="4">
                  <c:v>650000000</c:v>
                </c:pt>
                <c:pt idx="5">
                  <c:v>650000000</c:v>
                </c:pt>
                <c:pt idx="6">
                  <c:v>650000000</c:v>
                </c:pt>
                <c:pt idx="7">
                  <c:v>650000000</c:v>
                </c:pt>
                <c:pt idx="8">
                  <c:v>650000000</c:v>
                </c:pt>
                <c:pt idx="9">
                  <c:v>650000000</c:v>
                </c:pt>
                <c:pt idx="10">
                  <c:v>650000000</c:v>
                </c:pt>
                <c:pt idx="11">
                  <c:v>650000000</c:v>
                </c:pt>
                <c:pt idx="12">
                  <c:v>650000000</c:v>
                </c:pt>
                <c:pt idx="13">
                  <c:v>650000000</c:v>
                </c:pt>
                <c:pt idx="14">
                  <c:v>650000000</c:v>
                </c:pt>
                <c:pt idx="15">
                  <c:v>650000000</c:v>
                </c:pt>
                <c:pt idx="16">
                  <c:v>650000000</c:v>
                </c:pt>
                <c:pt idx="17">
                  <c:v>650000000</c:v>
                </c:pt>
                <c:pt idx="18">
                  <c:v>650000000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7C-487D-AB55-CF00F68D0B36}"/>
            </c:ext>
          </c:extLst>
        </c:ser>
        <c:ser>
          <c:idx val="2"/>
          <c:order val="2"/>
          <c:tx>
            <c:strRef>
              <c:f>Calculos!$K$38</c:f>
              <c:strCache>
                <c:ptCount val="1"/>
                <c:pt idx="0">
                  <c:v>FS real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Calculos!$K$39:$K$57</c:f>
              <c:numCache>
                <c:formatCode>General</c:formatCode>
                <c:ptCount val="19"/>
                <c:pt idx="0">
                  <c:v>12.383377183655742</c:v>
                </c:pt>
                <c:pt idx="1">
                  <c:v>13.703974801674976</c:v>
                </c:pt>
                <c:pt idx="2">
                  <c:v>15.233686187577785</c:v>
                </c:pt>
                <c:pt idx="3">
                  <c:v>17.005183441783885</c:v>
                </c:pt>
                <c:pt idx="4">
                  <c:v>19.054685641237722</c:v>
                </c:pt>
                <c:pt idx="5">
                  <c:v>21.421210678760787</c:v>
                </c:pt>
                <c:pt idx="6">
                  <c:v>24.14504674640196</c:v>
                </c:pt>
                <c:pt idx="7">
                  <c:v>17.122796511899733</c:v>
                </c:pt>
                <c:pt idx="8">
                  <c:v>19.352028610673681</c:v>
                </c:pt>
                <c:pt idx="9">
                  <c:v>21.864793872811884</c:v>
                </c:pt>
                <c:pt idx="10">
                  <c:v>24.662553229474405</c:v>
                </c:pt>
                <c:pt idx="11">
                  <c:v>27.728327131973089</c:v>
                </c:pt>
                <c:pt idx="12">
                  <c:v>31.01997194738977</c:v>
                </c:pt>
                <c:pt idx="13">
                  <c:v>18.783317184702149</c:v>
                </c:pt>
                <c:pt idx="14">
                  <c:v>20.684420362773544</c:v>
                </c:pt>
                <c:pt idx="15">
                  <c:v>22.531930218968306</c:v>
                </c:pt>
                <c:pt idx="16">
                  <c:v>24.233706394619311</c:v>
                </c:pt>
                <c:pt idx="17">
                  <c:v>25.691063740375785</c:v>
                </c:pt>
                <c:pt idx="18">
                  <c:v>26.809966256277434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7C-487D-AB55-CF00F68D0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3938464"/>
        <c:axId val="503942784"/>
      </c:lineChart>
      <c:catAx>
        <c:axId val="50393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3942784"/>
        <c:crosses val="autoZero"/>
        <c:auto val="1"/>
        <c:lblAlgn val="ctr"/>
        <c:lblOffset val="100"/>
        <c:noMultiLvlLbl val="0"/>
      </c:catAx>
      <c:valAx>
        <c:axId val="50394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393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16</xdr:col>
      <xdr:colOff>489858</xdr:colOff>
      <xdr:row>17</xdr:row>
      <xdr:rowOff>32658</xdr:rowOff>
    </xdr:from>
    <xdr:to>
      <xdr:col>24</xdr:col>
      <xdr:colOff>185058</xdr:colOff>
      <xdr:row>48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8468CCA-AA64-777A-D75A-77F6F34E62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500744</xdr:colOff>
      <xdr:row>49</xdr:row>
      <xdr:rowOff>54428</xdr:rowOff>
    </xdr:from>
    <xdr:to>
      <xdr:col>24</xdr:col>
      <xdr:colOff>195944</xdr:colOff>
      <xdr:row>64</xdr:row>
      <xdr:rowOff>21771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D24EB9C-563D-468F-D630-0C19823FBB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8"/>
  <sheetViews>
    <sheetView tabSelected="1" zoomScale="70" zoomScaleNormal="70" zoomScalePageLayoutView="25" workbookViewId="0">
      <selection activeCell="F7" sqref="F7"/>
    </sheetView>
  </sheetViews>
  <sheetFormatPr defaultRowHeight="14.4" x14ac:dyDescent="0.3"/>
  <cols>
    <col min="1" max="1" width="23.6640625" customWidth="1"/>
    <col min="2" max="5" width="20" customWidth="1"/>
    <col min="6" max="6" width="17.88671875" customWidth="1"/>
    <col min="7" max="14" width="20" customWidth="1"/>
  </cols>
  <sheetData>
    <row r="1" spans="1:15" x14ac:dyDescent="0.3">
      <c r="A1" s="5" t="s">
        <v>5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29</v>
      </c>
      <c r="J1" s="5" t="s">
        <v>28</v>
      </c>
      <c r="K1" s="5" t="s">
        <v>13</v>
      </c>
      <c r="L1" s="5" t="s">
        <v>14</v>
      </c>
      <c r="M1" s="6" t="s">
        <v>24</v>
      </c>
      <c r="N1" s="5" t="s">
        <v>15</v>
      </c>
      <c r="O1" s="1"/>
    </row>
    <row r="2" spans="1:15" x14ac:dyDescent="0.3">
      <c r="A2" s="7">
        <v>2.2360841999999999E-2</v>
      </c>
      <c r="B2" s="8">
        <v>289.02</v>
      </c>
      <c r="C2" s="9">
        <v>0</v>
      </c>
      <c r="D2" s="9">
        <v>132</v>
      </c>
      <c r="E2" s="9">
        <v>61.176327890000003</v>
      </c>
      <c r="F2" s="9" t="s">
        <v>16</v>
      </c>
      <c r="G2" s="9">
        <f>( (D41*E41^3)/12 ) - ( ((D41-2*B52)*(E41-2*B52)^3)/12 )</f>
        <v>1.1947333333333334E-7</v>
      </c>
      <c r="H2" s="9">
        <f>E41/2</f>
        <v>1.6E-2</v>
      </c>
      <c r="I2" s="9">
        <f>(E2*H2/G2)</f>
        <v>8192801.011997099</v>
      </c>
      <c r="J2" s="10">
        <v>15000000</v>
      </c>
      <c r="K2" s="9">
        <f>J2/I2</f>
        <v>1.8308756648714894</v>
      </c>
      <c r="L2" s="9">
        <f>E2/ (B57*G2)</f>
        <v>0.17068335441660623</v>
      </c>
      <c r="M2" s="9">
        <v>0</v>
      </c>
      <c r="N2" s="9">
        <v>0</v>
      </c>
    </row>
    <row r="3" spans="1:15" x14ac:dyDescent="0.3">
      <c r="A3" s="7">
        <v>6.6944665E-2</v>
      </c>
      <c r="B3" s="8">
        <v>288.75</v>
      </c>
      <c r="C3" s="9">
        <f>ABS(A2-A3)</f>
        <v>4.4583823000000002E-2</v>
      </c>
      <c r="D3" s="9">
        <v>125</v>
      </c>
      <c r="E3" s="9">
        <v>55.28100817</v>
      </c>
      <c r="F3" s="9" t="s">
        <v>16</v>
      </c>
      <c r="G3" s="9">
        <f>G2</f>
        <v>1.1947333333333334E-7</v>
      </c>
      <c r="H3" s="9">
        <f>H2</f>
        <v>1.6E-2</v>
      </c>
      <c r="I3" s="9">
        <f t="shared" ref="I3:I36" si="0">(E3*H3/G3)</f>
        <v>7403293.3211316327</v>
      </c>
      <c r="J3" s="10">
        <v>15000000</v>
      </c>
      <c r="K3" s="9">
        <f t="shared" ref="K3:K36" si="1">J3/I3</f>
        <v>2.0261253133365207</v>
      </c>
      <c r="L3" s="9">
        <f>E3/ (B57*G3)</f>
        <v>0.15423527752357569</v>
      </c>
      <c r="M3" s="9">
        <f>M2 + (L3 * C3)</f>
        <v>6.8763983134669769E-3</v>
      </c>
      <c r="N3" s="9">
        <f>N2 + (M3 * C3)</f>
        <v>3.0657612528511022E-4</v>
      </c>
    </row>
    <row r="4" spans="1:15" x14ac:dyDescent="0.3">
      <c r="A4" s="7">
        <v>0.111115751</v>
      </c>
      <c r="B4" s="8">
        <v>288.22000000000003</v>
      </c>
      <c r="C4" s="9">
        <f>ABS(A3-A4)</f>
        <v>4.4171085999999998E-2</v>
      </c>
      <c r="D4" s="9">
        <v>118</v>
      </c>
      <c r="E4" s="9">
        <v>49.729890300000001</v>
      </c>
      <c r="F4" s="9" t="s">
        <v>16</v>
      </c>
      <c r="G4" s="9">
        <f t="shared" ref="G4:G19" si="2">G3</f>
        <v>1.1947333333333334E-7</v>
      </c>
      <c r="H4" s="9">
        <f t="shared" ref="H4:H14" si="3">H3</f>
        <v>1.6E-2</v>
      </c>
      <c r="I4" s="9">
        <f t="shared" si="0"/>
        <v>6659881.5200044643</v>
      </c>
      <c r="J4" s="10">
        <v>15000000</v>
      </c>
      <c r="K4" s="9">
        <f t="shared" si="1"/>
        <v>2.2522923200576614</v>
      </c>
      <c r="L4" s="9">
        <f>E4/ (B58*G4)</f>
        <v>0.13874753166675965</v>
      </c>
      <c r="M4" s="9">
        <f t="shared" ref="M4:M36" si="4">M3 + (L4 * C4)</f>
        <v>1.300502746700714E-2</v>
      </c>
      <c r="N4" s="9">
        <f t="shared" ref="N4:N36" si="5">N3 + (M4 * C4)</f>
        <v>8.810223119626447E-4</v>
      </c>
    </row>
    <row r="5" spans="1:15" x14ac:dyDescent="0.3">
      <c r="A5" s="7">
        <v>0.154601772</v>
      </c>
      <c r="B5" s="8">
        <v>287.43</v>
      </c>
      <c r="C5" s="9">
        <f>ABS(A4-A5)</f>
        <v>4.3486021E-2</v>
      </c>
      <c r="D5" s="9">
        <v>111</v>
      </c>
      <c r="E5" s="9">
        <v>44.549330830000002</v>
      </c>
      <c r="F5" s="9" t="s">
        <v>16</v>
      </c>
      <c r="G5" s="9">
        <f t="shared" si="2"/>
        <v>1.1947333333333334E-7</v>
      </c>
      <c r="H5" s="9">
        <f t="shared" si="3"/>
        <v>1.6E-2</v>
      </c>
      <c r="I5" s="9">
        <f t="shared" si="0"/>
        <v>5966095.3067351151</v>
      </c>
      <c r="J5" s="10">
        <v>15000000</v>
      </c>
      <c r="K5" s="9">
        <f t="shared" si="1"/>
        <v>2.5142072375321467</v>
      </c>
      <c r="L5" s="9">
        <f>E5/ (B59*G5)</f>
        <v>0.12429365222364823</v>
      </c>
      <c r="M5" s="9">
        <f t="shared" si="4"/>
        <v>1.8410063837771405E-2</v>
      </c>
      <c r="N5" s="9">
        <f t="shared" si="5"/>
        <v>1.6816027346233126E-3</v>
      </c>
    </row>
    <row r="6" spans="1:15" x14ac:dyDescent="0.3">
      <c r="A6" s="7">
        <v>0.19713462200000001</v>
      </c>
      <c r="B6" s="8">
        <v>286.39999999999998</v>
      </c>
      <c r="C6" s="9">
        <f>ABS(A5-A6)</f>
        <v>4.2532850000000011E-2</v>
      </c>
      <c r="D6" s="9">
        <v>105</v>
      </c>
      <c r="E6" s="9">
        <v>39.757651070000001</v>
      </c>
      <c r="F6" s="9" t="s">
        <v>16</v>
      </c>
      <c r="G6" s="9">
        <f t="shared" si="2"/>
        <v>1.1947333333333334E-7</v>
      </c>
      <c r="H6" s="9">
        <f t="shared" si="3"/>
        <v>1.6E-2</v>
      </c>
      <c r="I6" s="9">
        <f t="shared" si="0"/>
        <v>5324388.2912783884</v>
      </c>
      <c r="J6" s="10">
        <v>15000000</v>
      </c>
      <c r="K6" s="9">
        <f t="shared" si="1"/>
        <v>2.8172250368311311</v>
      </c>
      <c r="L6" s="9">
        <f>E6/ (B60*G6)</f>
        <v>0.11092475606829975</v>
      </c>
      <c r="M6" s="9">
        <f t="shared" si="4"/>
        <v>2.3128009848910988E-2</v>
      </c>
      <c r="N6" s="9">
        <f t="shared" si="5"/>
        <v>2.6653029083255663E-3</v>
      </c>
    </row>
    <row r="7" spans="1:15" x14ac:dyDescent="0.3">
      <c r="A7" s="7">
        <v>0.23845207099999999</v>
      </c>
      <c r="B7" s="8">
        <v>285.13</v>
      </c>
      <c r="C7" s="9">
        <f>ABS(A6-A7)</f>
        <v>4.1317448999999978E-2</v>
      </c>
      <c r="D7" s="9">
        <v>98.157610489999996</v>
      </c>
      <c r="E7" s="9">
        <v>35.365393410000003</v>
      </c>
      <c r="F7" s="9" t="s">
        <v>16</v>
      </c>
      <c r="G7" s="9">
        <f t="shared" si="2"/>
        <v>1.1947333333333334E-7</v>
      </c>
      <c r="H7" s="9">
        <f t="shared" si="3"/>
        <v>1.6E-2</v>
      </c>
      <c r="I7" s="9">
        <f t="shared" si="0"/>
        <v>4736172.3220802406</v>
      </c>
      <c r="J7" s="10">
        <v>15000000</v>
      </c>
      <c r="K7" s="9">
        <f t="shared" si="1"/>
        <v>3.16711449244981</v>
      </c>
      <c r="L7" s="9">
        <f>E7/ (B61*G7)</f>
        <v>9.8670256710005025E-2</v>
      </c>
      <c r="M7" s="9">
        <f t="shared" si="4"/>
        <v>2.7204813148343526E-2</v>
      </c>
      <c r="N7" s="9">
        <f t="shared" si="5"/>
        <v>3.7893363881367787E-3</v>
      </c>
    </row>
    <row r="8" spans="1:15" x14ac:dyDescent="0.3">
      <c r="A8" s="7">
        <v>0.27829938300000001</v>
      </c>
      <c r="B8" s="8">
        <v>283.64</v>
      </c>
      <c r="C8" s="9">
        <f>ABS(A7-A8)</f>
        <v>3.9847312000000024E-2</v>
      </c>
      <c r="D8" s="9">
        <v>91.946126759999999</v>
      </c>
      <c r="E8" s="9">
        <v>31.375774539999998</v>
      </c>
      <c r="F8" s="9" t="s">
        <v>16</v>
      </c>
      <c r="G8" s="9">
        <f t="shared" si="2"/>
        <v>1.1947333333333334E-7</v>
      </c>
      <c r="H8" s="9">
        <f t="shared" si="3"/>
        <v>1.6E-2</v>
      </c>
      <c r="I8" s="9">
        <f t="shared" si="0"/>
        <v>4201878.18179789</v>
      </c>
      <c r="J8" s="10">
        <v>15000000</v>
      </c>
      <c r="K8" s="9">
        <f t="shared" si="1"/>
        <v>3.5698321919418032</v>
      </c>
      <c r="L8" s="9">
        <f>E8/ (B62*G8)</f>
        <v>8.7539128787456053E-2</v>
      </c>
      <c r="M8" s="9">
        <f t="shared" si="4"/>
        <v>3.0693012125345472E-2</v>
      </c>
      <c r="N8" s="9">
        <f t="shared" si="5"/>
        <v>5.0123704185152038E-3</v>
      </c>
    </row>
    <row r="9" spans="1:15" x14ac:dyDescent="0.3">
      <c r="A9" s="7">
        <v>0.31643088800000002</v>
      </c>
      <c r="B9" s="8">
        <v>281.95999999999998</v>
      </c>
      <c r="C9" s="9">
        <f>ABS(A8-A9)</f>
        <v>3.813150500000001E-2</v>
      </c>
      <c r="D9" s="9">
        <v>86.000914510000001</v>
      </c>
      <c r="E9" s="9">
        <v>27.78531534</v>
      </c>
      <c r="F9" s="9" t="s">
        <v>16</v>
      </c>
      <c r="G9" s="9">
        <f t="shared" si="2"/>
        <v>1.1947333333333334E-7</v>
      </c>
      <c r="H9" s="9">
        <f t="shared" si="3"/>
        <v>1.6E-2</v>
      </c>
      <c r="I9" s="9">
        <f t="shared" si="0"/>
        <v>3721039.9428603314</v>
      </c>
      <c r="J9" s="10">
        <v>15000000</v>
      </c>
      <c r="K9" s="9">
        <f t="shared" si="1"/>
        <v>4.0311311435344681</v>
      </c>
      <c r="L9" s="9">
        <f>E9/ (B63*G9)</f>
        <v>7.7521665476256899E-2</v>
      </c>
      <c r="M9" s="9">
        <f t="shared" si="4"/>
        <v>3.3649029900061689E-2</v>
      </c>
      <c r="N9" s="9">
        <f t="shared" si="5"/>
        <v>6.2954585703945557E-3</v>
      </c>
    </row>
    <row r="10" spans="1:15" x14ac:dyDescent="0.3">
      <c r="A10" s="7">
        <v>0.352611491</v>
      </c>
      <c r="B10" s="8">
        <v>280.11</v>
      </c>
      <c r="C10" s="9">
        <f>ABS(A9-A10)</f>
        <v>3.6180602999999978E-2</v>
      </c>
      <c r="D10" s="9">
        <v>80.384439909999998</v>
      </c>
      <c r="E10" s="9">
        <v>24.584621599999998</v>
      </c>
      <c r="F10" s="9" t="s">
        <v>16</v>
      </c>
      <c r="G10" s="9">
        <f t="shared" si="2"/>
        <v>1.1947333333333334E-7</v>
      </c>
      <c r="H10" s="9">
        <f t="shared" si="3"/>
        <v>1.6E-2</v>
      </c>
      <c r="I10" s="9">
        <f t="shared" si="0"/>
        <v>3292399.5223480826</v>
      </c>
      <c r="J10" s="10">
        <v>15000000</v>
      </c>
      <c r="K10" s="9">
        <f t="shared" si="1"/>
        <v>4.5559476904863168</v>
      </c>
      <c r="L10" s="9">
        <f>E10/ (B64*G10)</f>
        <v>6.8591656715585064E-2</v>
      </c>
      <c r="M10" s="9">
        <f t="shared" si="4"/>
        <v>3.6130717400800552E-2</v>
      </c>
      <c r="N10" s="9">
        <f t="shared" si="5"/>
        <v>7.6026897127781119E-3</v>
      </c>
    </row>
    <row r="11" spans="1:15" x14ac:dyDescent="0.3">
      <c r="A11" s="7">
        <v>0.38661812600000001</v>
      </c>
      <c r="B11" s="8">
        <v>278.11</v>
      </c>
      <c r="C11" s="9">
        <f>ABS(A10-A11)</f>
        <v>3.4006635000000007E-2</v>
      </c>
      <c r="D11" s="9">
        <v>75.106411199999997</v>
      </c>
      <c r="E11" s="9">
        <v>21.75928588</v>
      </c>
      <c r="F11" s="9" t="s">
        <v>16</v>
      </c>
      <c r="G11" s="9">
        <f t="shared" si="2"/>
        <v>1.1947333333333334E-7</v>
      </c>
      <c r="H11" s="9">
        <f t="shared" si="3"/>
        <v>1.6E-2</v>
      </c>
      <c r="I11" s="9">
        <f t="shared" si="0"/>
        <v>2914027.4600747721</v>
      </c>
      <c r="J11" s="10">
        <v>15000000</v>
      </c>
      <c r="K11" s="9">
        <f t="shared" si="1"/>
        <v>5.1475149790163988</v>
      </c>
      <c r="L11" s="9">
        <f>E11/ (B65*G11)</f>
        <v>6.0708905418224428E-2</v>
      </c>
      <c r="M11" s="9">
        <f t="shared" si="4"/>
        <v>3.8195222988607634E-2</v>
      </c>
      <c r="N11" s="9">
        <f t="shared" si="5"/>
        <v>8.9015807196953008E-3</v>
      </c>
    </row>
    <row r="12" spans="1:15" x14ac:dyDescent="0.3">
      <c r="A12" s="7">
        <v>0.41824113299999999</v>
      </c>
      <c r="B12" s="8">
        <v>276</v>
      </c>
      <c r="C12" s="9">
        <f>ABS(A11-A12)</f>
        <v>3.1623006999999981E-2</v>
      </c>
      <c r="D12" s="9">
        <v>70.205805150000003</v>
      </c>
      <c r="E12" s="9">
        <v>19.290877800000001</v>
      </c>
      <c r="F12" s="9" t="s">
        <v>16</v>
      </c>
      <c r="G12" s="9">
        <f t="shared" si="2"/>
        <v>1.1947333333333334E-7</v>
      </c>
      <c r="H12" s="9">
        <f t="shared" si="3"/>
        <v>1.6E-2</v>
      </c>
      <c r="I12" s="9">
        <f t="shared" si="0"/>
        <v>2583455.5393114225</v>
      </c>
      <c r="J12" s="10">
        <v>15000000</v>
      </c>
      <c r="K12" s="9">
        <f t="shared" si="1"/>
        <v>5.8061769485678871</v>
      </c>
      <c r="L12" s="9">
        <f>E12/ (B66*G12)</f>
        <v>5.3821990402321301E-2</v>
      </c>
      <c r="M12" s="9">
        <f t="shared" si="4"/>
        <v>3.9897236167854171E-2</v>
      </c>
      <c r="N12" s="9">
        <f t="shared" si="5"/>
        <v>1.0163251298312005E-2</v>
      </c>
    </row>
    <row r="13" spans="1:15" x14ac:dyDescent="0.3">
      <c r="A13" s="7">
        <v>0.44728554399999998</v>
      </c>
      <c r="B13" s="8">
        <v>273.82</v>
      </c>
      <c r="C13" s="9">
        <f>ABS(A12-A13)</f>
        <v>2.9044410999999992E-2</v>
      </c>
      <c r="D13" s="9">
        <v>65.709513950000002</v>
      </c>
      <c r="E13" s="9">
        <v>17.157987869999999</v>
      </c>
      <c r="F13" s="9" t="s">
        <v>16</v>
      </c>
      <c r="G13" s="9">
        <f t="shared" si="2"/>
        <v>1.1947333333333334E-7</v>
      </c>
      <c r="H13" s="9">
        <f t="shared" si="3"/>
        <v>1.6E-2</v>
      </c>
      <c r="I13" s="9">
        <f t="shared" si="0"/>
        <v>2297816.5776463365</v>
      </c>
      <c r="J13" s="10">
        <v>15000000</v>
      </c>
      <c r="K13" s="9">
        <f t="shared" si="1"/>
        <v>6.5279361920891725</v>
      </c>
      <c r="L13" s="9">
        <f>E13/ (B67*G13)</f>
        <v>4.7871178700965342E-2</v>
      </c>
      <c r="M13" s="9">
        <f t="shared" si="4"/>
        <v>4.1287626357099455E-2</v>
      </c>
      <c r="N13" s="9">
        <f t="shared" si="5"/>
        <v>1.1362426087442035E-2</v>
      </c>
    </row>
    <row r="14" spans="1:15" x14ac:dyDescent="0.3">
      <c r="A14" s="7">
        <v>0.47357229000000001</v>
      </c>
      <c r="B14" s="8">
        <v>271.61</v>
      </c>
      <c r="C14" s="9">
        <f>ABS(A13-A14)</f>
        <v>2.6286746000000027E-2</v>
      </c>
      <c r="D14" s="9">
        <v>61.640472799999998</v>
      </c>
      <c r="E14" s="9">
        <v>15.33728984</v>
      </c>
      <c r="F14" s="9" t="s">
        <v>16</v>
      </c>
      <c r="G14" s="9">
        <f t="shared" si="2"/>
        <v>1.1947333333333334E-7</v>
      </c>
      <c r="H14" s="9">
        <f t="shared" si="3"/>
        <v>1.6E-2</v>
      </c>
      <c r="I14" s="9">
        <f t="shared" si="0"/>
        <v>2053986.698063724</v>
      </c>
      <c r="J14" s="10">
        <v>15000000</v>
      </c>
      <c r="K14" s="9">
        <f t="shared" si="1"/>
        <v>7.3028710527387419</v>
      </c>
      <c r="L14" s="9">
        <f>E14/ (B68*G14)</f>
        <v>4.2791389542994253E-2</v>
      </c>
      <c r="M14" s="9">
        <f t="shared" si="4"/>
        <v>4.2412472745003205E-2</v>
      </c>
      <c r="N14" s="9">
        <f t="shared" si="5"/>
        <v>1.2477311985721858E-2</v>
      </c>
    </row>
    <row r="15" spans="1:15" x14ac:dyDescent="0.3">
      <c r="A15" s="7">
        <v>0.49693930600000003</v>
      </c>
      <c r="B15" s="8">
        <v>269.42</v>
      </c>
      <c r="C15" s="9">
        <f>ABS(A14-A15)</f>
        <v>2.3367016000000018E-2</v>
      </c>
      <c r="D15" s="9">
        <v>58.017670799999998</v>
      </c>
      <c r="E15" s="9">
        <v>13.80458673</v>
      </c>
      <c r="F15" s="9" t="s">
        <v>16</v>
      </c>
      <c r="G15" s="9">
        <f>(D42*(E42^3))/12 - ((D42-(2*B53))*((E42-(2*B53))^3))/12</f>
        <v>2.2395999999999998E-8</v>
      </c>
      <c r="H15" s="9">
        <f>E42/2</f>
        <v>0.01</v>
      </c>
      <c r="I15" s="9">
        <f t="shared" si="0"/>
        <v>6163862.6227897853</v>
      </c>
      <c r="J15" s="10">
        <v>15000000</v>
      </c>
      <c r="K15" s="9">
        <f t="shared" si="1"/>
        <v>2.4335389865017705</v>
      </c>
      <c r="L15" s="9">
        <f>E15/ (B69*G15)</f>
        <v>0.20546208742632618</v>
      </c>
      <c r="M15" s="9">
        <f t="shared" si="4"/>
        <v>4.7213508629287568E-2</v>
      </c>
      <c r="N15" s="9">
        <f t="shared" si="5"/>
        <v>1.3580550797278559E-2</v>
      </c>
    </row>
    <row r="16" spans="1:15" x14ac:dyDescent="0.3">
      <c r="A16" s="7">
        <v>0.51724252599999998</v>
      </c>
      <c r="B16" s="8">
        <v>267.31</v>
      </c>
      <c r="C16" s="9">
        <f>ABS(A15-A16)</f>
        <v>2.0303219999999955E-2</v>
      </c>
      <c r="D16" s="9">
        <v>54.856287160000001</v>
      </c>
      <c r="E16" s="9">
        <v>12.535808429999999</v>
      </c>
      <c r="F16" s="9" t="s">
        <v>16</v>
      </c>
      <c r="G16" s="9">
        <f t="shared" si="2"/>
        <v>2.2395999999999998E-8</v>
      </c>
      <c r="H16" s="9">
        <f>H15</f>
        <v>0.01</v>
      </c>
      <c r="I16" s="9">
        <f t="shared" si="0"/>
        <v>5597342.5745668877</v>
      </c>
      <c r="J16" s="10">
        <v>15000000</v>
      </c>
      <c r="K16" s="9">
        <f t="shared" si="1"/>
        <v>2.6798431220123549</v>
      </c>
      <c r="L16" s="9">
        <f>E16/ (B70*G16)</f>
        <v>0.18657808581889626</v>
      </c>
      <c r="M16" s="9">
        <f t="shared" si="4"/>
        <v>5.1001644552847489E-2</v>
      </c>
      <c r="N16" s="9">
        <f t="shared" si="5"/>
        <v>1.4616048406996821E-2</v>
      </c>
    </row>
    <row r="17" spans="1:14" x14ac:dyDescent="0.3">
      <c r="A17" s="7">
        <v>0.53435677400000003</v>
      </c>
      <c r="B17" s="8">
        <v>265.32</v>
      </c>
      <c r="C17" s="9">
        <f>ABS(A16-A17)</f>
        <v>1.7114248000000054E-2</v>
      </c>
      <c r="D17" s="9">
        <v>52.167952419999999</v>
      </c>
      <c r="E17" s="9">
        <v>11.507932459999999</v>
      </c>
      <c r="F17" s="9" t="s">
        <v>16</v>
      </c>
      <c r="G17" s="9">
        <f t="shared" si="2"/>
        <v>2.2395999999999998E-8</v>
      </c>
      <c r="H17" s="9">
        <f t="shared" ref="H17:H36" si="6">H16</f>
        <v>0.01</v>
      </c>
      <c r="I17" s="9">
        <f t="shared" si="0"/>
        <v>5138387.4173959633</v>
      </c>
      <c r="J17" s="10">
        <v>15000000</v>
      </c>
      <c r="K17" s="9">
        <f t="shared" si="1"/>
        <v>2.9192037854556543</v>
      </c>
      <c r="L17" s="9">
        <f>E17/ (B71*G17)</f>
        <v>0.17127958057986548</v>
      </c>
      <c r="M17" s="9">
        <f t="shared" si="4"/>
        <v>5.3932965772227302E-2</v>
      </c>
      <c r="N17" s="9">
        <f t="shared" si="5"/>
        <v>1.5539070558598234E-2</v>
      </c>
    </row>
    <row r="18" spans="1:14" x14ac:dyDescent="0.3">
      <c r="A18" s="7">
        <v>0.54817653499999996</v>
      </c>
      <c r="B18" s="8">
        <v>263.51</v>
      </c>
      <c r="C18" s="9">
        <f>ABS(A17-A18)</f>
        <v>1.381976099999993E-2</v>
      </c>
      <c r="D18" s="9">
        <v>49.961118140000004</v>
      </c>
      <c r="E18" s="9">
        <v>10.699804930000001</v>
      </c>
      <c r="F18" s="9" t="s">
        <v>16</v>
      </c>
      <c r="G18" s="9">
        <f t="shared" si="2"/>
        <v>2.2395999999999998E-8</v>
      </c>
      <c r="H18" s="9">
        <f t="shared" si="6"/>
        <v>0.01</v>
      </c>
      <c r="I18" s="9">
        <f t="shared" si="0"/>
        <v>4777551.7637078054</v>
      </c>
      <c r="J18" s="10">
        <v>15000000</v>
      </c>
      <c r="K18" s="9">
        <f t="shared" si="1"/>
        <v>3.1396834072936688</v>
      </c>
      <c r="L18" s="9">
        <f>E18/ (B72*G18)</f>
        <v>0.15925172545692687</v>
      </c>
      <c r="M18" s="9">
        <f t="shared" si="4"/>
        <v>5.6133786556879638E-2</v>
      </c>
      <c r="N18" s="9">
        <f t="shared" si="5"/>
        <v>1.6314826072839319E-2</v>
      </c>
    </row>
    <row r="19" spans="1:14" x14ac:dyDescent="0.3">
      <c r="A19" s="7">
        <v>0.55861660400000002</v>
      </c>
      <c r="B19" s="8">
        <v>261.91000000000003</v>
      </c>
      <c r="C19" s="9">
        <f>ABS(A18-A19)</f>
        <v>1.0440069000000052E-2</v>
      </c>
      <c r="D19" s="9">
        <v>48.24149603</v>
      </c>
      <c r="E19" s="9">
        <v>10.09284527</v>
      </c>
      <c r="F19" s="9" t="s">
        <v>16</v>
      </c>
      <c r="G19" s="9">
        <f t="shared" si="2"/>
        <v>2.2395999999999998E-8</v>
      </c>
      <c r="H19" s="9">
        <f t="shared" si="6"/>
        <v>0.01</v>
      </c>
      <c r="I19" s="9">
        <f t="shared" si="0"/>
        <v>4506539.2346847663</v>
      </c>
      <c r="J19" s="10">
        <v>15000000</v>
      </c>
      <c r="K19" s="9">
        <f t="shared" si="1"/>
        <v>3.3284964845200675</v>
      </c>
      <c r="L19" s="9">
        <f>E19/ (B73*G19)</f>
        <v>0.1502179744894922</v>
      </c>
      <c r="M19" s="9">
        <f t="shared" si="4"/>
        <v>5.7702072575590187E-2</v>
      </c>
      <c r="N19" s="9">
        <f t="shared" si="5"/>
        <v>1.6917239691971491E-2</v>
      </c>
    </row>
    <row r="20" spans="1:14" x14ac:dyDescent="0.3">
      <c r="A20" s="7">
        <v>0.56561261699999998</v>
      </c>
      <c r="B20" s="8">
        <v>260.64</v>
      </c>
      <c r="C20" s="9">
        <f>ABS(A19-A20)</f>
        <v>6.9960129999999676E-3</v>
      </c>
      <c r="D20" s="9">
        <v>47.012498950000001</v>
      </c>
      <c r="E20" s="9">
        <v>9.6716246740000003</v>
      </c>
      <c r="F20" s="9" t="s">
        <v>16</v>
      </c>
      <c r="G20" s="9">
        <f>G19</f>
        <v>2.2395999999999998E-8</v>
      </c>
      <c r="H20" s="9">
        <f t="shared" si="6"/>
        <v>0.01</v>
      </c>
      <c r="I20" s="9">
        <f t="shared" si="0"/>
        <v>4318460.7403107705</v>
      </c>
      <c r="J20" s="10">
        <v>15000000</v>
      </c>
      <c r="K20" s="9">
        <f t="shared" si="1"/>
        <v>3.4734598510951269</v>
      </c>
      <c r="L20" s="9">
        <f>E20/ (B74*G20)</f>
        <v>0.14394869134369234</v>
      </c>
      <c r="M20" s="9">
        <f t="shared" si="4"/>
        <v>5.8709139491563644E-2</v>
      </c>
      <c r="N20" s="9">
        <f t="shared" si="5"/>
        <v>1.7327969595073281E-2</v>
      </c>
    </row>
    <row r="21" spans="1:14" x14ac:dyDescent="0.3">
      <c r="A21" s="7">
        <v>0.56912143999999998</v>
      </c>
      <c r="B21" s="8">
        <v>259.98</v>
      </c>
      <c r="C21" s="9">
        <f t="shared" ref="C21:C35" si="7">ABS(A20-A21)</f>
        <v>3.5088229999999943E-3</v>
      </c>
      <c r="D21" s="9">
        <v>46.275590190000003</v>
      </c>
      <c r="E21" s="9">
        <v>9.4243141969999993</v>
      </c>
      <c r="F21" s="9" t="s">
        <v>16</v>
      </c>
      <c r="G21" s="9">
        <f t="shared" ref="G21:G36" si="8">G20</f>
        <v>2.2395999999999998E-8</v>
      </c>
      <c r="H21" s="9">
        <f t="shared" si="6"/>
        <v>0.01</v>
      </c>
      <c r="I21" s="9">
        <f t="shared" si="0"/>
        <v>4208034.5584032871</v>
      </c>
      <c r="J21" s="10">
        <v>15000000</v>
      </c>
      <c r="K21" s="9">
        <f t="shared" si="1"/>
        <v>3.5646095087421665</v>
      </c>
      <c r="L21" s="9">
        <f t="shared" ref="L21:L36" si="9">E21/ (B75*G21)</f>
        <v>0.1402678186134429</v>
      </c>
      <c r="M21" s="9">
        <f t="shared" si="4"/>
        <v>5.9201314439674323E-2</v>
      </c>
      <c r="N21" s="9">
        <f t="shared" si="5"/>
        <v>1.7535696528809441E-2</v>
      </c>
    </row>
    <row r="22" spans="1:14" x14ac:dyDescent="0.3">
      <c r="A22" s="7">
        <v>0.59247362000000003</v>
      </c>
      <c r="B22" s="8">
        <v>259.23</v>
      </c>
      <c r="C22" s="9">
        <f t="shared" si="7"/>
        <v>2.3352180000000056E-2</v>
      </c>
      <c r="D22" s="9">
        <v>46.03039613</v>
      </c>
      <c r="E22" s="9">
        <v>9.3430024419999995</v>
      </c>
      <c r="F22" s="9" t="s">
        <v>16</v>
      </c>
      <c r="G22" s="9">
        <f t="shared" si="8"/>
        <v>2.2395999999999998E-8</v>
      </c>
      <c r="H22" s="9">
        <f t="shared" si="6"/>
        <v>0.01</v>
      </c>
      <c r="I22" s="9">
        <f t="shared" si="0"/>
        <v>4171728.1844972316</v>
      </c>
      <c r="J22" s="10">
        <v>15000000</v>
      </c>
      <c r="K22" s="9">
        <f t="shared" si="1"/>
        <v>3.5956321544970864</v>
      </c>
      <c r="L22" s="9">
        <f t="shared" si="9"/>
        <v>0.13905760614990773</v>
      </c>
      <c r="M22" s="9">
        <f t="shared" si="4"/>
        <v>6.2448612688856084E-2</v>
      </c>
      <c r="N22" s="9">
        <f t="shared" si="5"/>
        <v>1.8994007773069897E-2</v>
      </c>
    </row>
    <row r="23" spans="1:14" x14ac:dyDescent="0.3">
      <c r="A23" s="7">
        <v>0.63717463299999999</v>
      </c>
      <c r="B23" s="8">
        <v>256.42</v>
      </c>
      <c r="C23" s="9">
        <f t="shared" si="7"/>
        <v>4.4701012999999956E-2</v>
      </c>
      <c r="D23" s="9">
        <v>39.821528809999997</v>
      </c>
      <c r="E23" s="9">
        <v>7.2740632170000001</v>
      </c>
      <c r="F23" s="9" t="s">
        <v>16</v>
      </c>
      <c r="G23" s="9">
        <f t="shared" si="8"/>
        <v>2.2395999999999998E-8</v>
      </c>
      <c r="H23" s="9">
        <f t="shared" si="6"/>
        <v>0.01</v>
      </c>
      <c r="I23" s="9">
        <f t="shared" si="0"/>
        <v>3247929.6378817651</v>
      </c>
      <c r="J23" s="10">
        <v>15000000</v>
      </c>
      <c r="K23" s="9">
        <f t="shared" si="1"/>
        <v>4.6183266487825456</v>
      </c>
      <c r="L23" s="9">
        <f t="shared" si="9"/>
        <v>0.1082643212627255</v>
      </c>
      <c r="M23" s="9">
        <f t="shared" si="4"/>
        <v>6.7288137521057348E-2</v>
      </c>
      <c r="N23" s="9">
        <f t="shared" si="5"/>
        <v>2.2001855683144465E-2</v>
      </c>
    </row>
    <row r="24" spans="1:14" x14ac:dyDescent="0.3">
      <c r="A24" s="7">
        <v>0.68113966699999995</v>
      </c>
      <c r="B24" s="8">
        <v>251.91</v>
      </c>
      <c r="C24" s="9">
        <f t="shared" si="7"/>
        <v>4.3965033999999958E-2</v>
      </c>
      <c r="D24" s="9">
        <v>33.850799960000003</v>
      </c>
      <c r="E24" s="9">
        <v>5.5038056019999999</v>
      </c>
      <c r="F24" s="9" t="s">
        <v>16</v>
      </c>
      <c r="G24" s="9">
        <f>(D43*(E43)^3)/12 - ((D43-(2*B53))*((E43-(2*B53))^3))/12</f>
        <v>3.1520000000000003E-9</v>
      </c>
      <c r="H24" s="9">
        <f>E49/2</f>
        <v>5.0000000000000001E-4</v>
      </c>
      <c r="I24" s="9">
        <f t="shared" si="0"/>
        <v>873065.60945431457</v>
      </c>
      <c r="J24" s="10">
        <v>15000000</v>
      </c>
      <c r="K24" s="9">
        <f t="shared" si="1"/>
        <v>17.180839375147688</v>
      </c>
      <c r="L24" s="9">
        <f t="shared" si="9"/>
        <v>0.5820437396362097</v>
      </c>
      <c r="M24" s="9">
        <f t="shared" si="4"/>
        <v>9.2877710323650428E-2</v>
      </c>
      <c r="N24" s="9">
        <f t="shared" si="5"/>
        <v>2.6085227375365904E-2</v>
      </c>
    </row>
    <row r="25" spans="1:14" x14ac:dyDescent="0.3">
      <c r="A25" s="7">
        <v>0.72388703200000004</v>
      </c>
      <c r="B25" s="8">
        <v>245.64</v>
      </c>
      <c r="C25" s="9">
        <f t="shared" si="7"/>
        <v>4.2747365000000093E-2</v>
      </c>
      <c r="D25" s="9">
        <v>28.207621140000001</v>
      </c>
      <c r="E25" s="9">
        <v>4.0321325769999996</v>
      </c>
      <c r="F25" s="9" t="s">
        <v>16</v>
      </c>
      <c r="G25" s="9">
        <f t="shared" si="8"/>
        <v>3.1520000000000003E-9</v>
      </c>
      <c r="H25" s="9">
        <f t="shared" si="6"/>
        <v>5.0000000000000001E-4</v>
      </c>
      <c r="I25" s="9">
        <f t="shared" si="0"/>
        <v>639614.93924492376</v>
      </c>
      <c r="J25" s="10">
        <v>15000000</v>
      </c>
      <c r="K25" s="9">
        <f t="shared" si="1"/>
        <v>23.451609835298335</v>
      </c>
      <c r="L25" s="9">
        <f t="shared" si="9"/>
        <v>0.42640995949661581</v>
      </c>
      <c r="M25" s="9">
        <f t="shared" si="4"/>
        <v>0.11110561250188752</v>
      </c>
      <c r="N25" s="9">
        <f t="shared" si="5"/>
        <v>3.0834699546532663E-2</v>
      </c>
    </row>
    <row r="26" spans="1:14" x14ac:dyDescent="0.3">
      <c r="A26" s="7">
        <v>0.76494837800000004</v>
      </c>
      <c r="B26" s="8">
        <v>237.4</v>
      </c>
      <c r="C26" s="9">
        <f t="shared" si="7"/>
        <v>4.1061345999999999E-2</v>
      </c>
      <c r="D26" s="9">
        <v>22.97126467</v>
      </c>
      <c r="E26" s="9">
        <v>2.846863881</v>
      </c>
      <c r="F26" s="9" t="s">
        <v>16</v>
      </c>
      <c r="G26" s="9">
        <f t="shared" si="8"/>
        <v>3.1520000000000003E-9</v>
      </c>
      <c r="H26" s="9">
        <f t="shared" si="6"/>
        <v>5.0000000000000001E-4</v>
      </c>
      <c r="I26" s="9">
        <f t="shared" si="0"/>
        <v>451596.42782360403</v>
      </c>
      <c r="J26" s="10">
        <v>15000000</v>
      </c>
      <c r="K26" s="9">
        <f t="shared" si="1"/>
        <v>33.215497457077049</v>
      </c>
      <c r="L26" s="9">
        <f t="shared" si="9"/>
        <v>0.30106428521573597</v>
      </c>
      <c r="M26" s="9">
        <f t="shared" si="4"/>
        <v>0.12346771728537355</v>
      </c>
      <c r="N26" s="9">
        <f t="shared" si="5"/>
        <v>3.5904450205817569E-2</v>
      </c>
    </row>
    <row r="27" spans="1:14" x14ac:dyDescent="0.3">
      <c r="A27" s="7">
        <v>0.80387382919999995</v>
      </c>
      <c r="B27" s="8">
        <v>226.96</v>
      </c>
      <c r="C27" s="9">
        <f t="shared" si="7"/>
        <v>3.8925451199999905E-2</v>
      </c>
      <c r="D27" s="9">
        <v>18.210974920000002</v>
      </c>
      <c r="E27" s="9">
        <v>1.925641661</v>
      </c>
      <c r="F27" s="9" t="s">
        <v>16</v>
      </c>
      <c r="G27" s="9">
        <f t="shared" si="8"/>
        <v>3.1520000000000003E-9</v>
      </c>
      <c r="H27" s="9">
        <f t="shared" si="6"/>
        <v>5.0000000000000001E-4</v>
      </c>
      <c r="I27" s="9">
        <f t="shared" si="0"/>
        <v>305463.46145304566</v>
      </c>
      <c r="J27" s="10">
        <v>15000000</v>
      </c>
      <c r="K27" s="9">
        <f t="shared" si="1"/>
        <v>49.105709496799264</v>
      </c>
      <c r="L27" s="9">
        <f t="shared" si="9"/>
        <v>0.20364230763536376</v>
      </c>
      <c r="M27" s="9">
        <f t="shared" si="4"/>
        <v>0.13139458599348927</v>
      </c>
      <c r="N27" s="9">
        <f t="shared" si="5"/>
        <v>4.1019043750851324E-2</v>
      </c>
    </row>
    <row r="28" spans="1:14" x14ac:dyDescent="0.3">
      <c r="A28" s="7">
        <v>0.84023690959999997</v>
      </c>
      <c r="B28" s="8">
        <v>214.13</v>
      </c>
      <c r="C28" s="9">
        <f t="shared" si="7"/>
        <v>3.6363080400000025E-2</v>
      </c>
      <c r="D28" s="9">
        <v>13.98360375</v>
      </c>
      <c r="E28" s="9">
        <v>1.238219999</v>
      </c>
      <c r="F28" s="9" t="s">
        <v>16</v>
      </c>
      <c r="G28" s="9">
        <f t="shared" si="8"/>
        <v>3.1520000000000003E-9</v>
      </c>
      <c r="H28" s="9">
        <f t="shared" si="6"/>
        <v>5.0000000000000001E-4</v>
      </c>
      <c r="I28" s="9">
        <f t="shared" si="0"/>
        <v>196418.14704949237</v>
      </c>
      <c r="J28" s="10">
        <v>15000000</v>
      </c>
      <c r="K28" s="9">
        <f t="shared" si="1"/>
        <v>76.367689163773562</v>
      </c>
      <c r="L28" s="9">
        <f t="shared" si="9"/>
        <v>0.13094543136632825</v>
      </c>
      <c r="M28" s="9">
        <f t="shared" si="4"/>
        <v>0.13615616524227575</v>
      </c>
      <c r="N28" s="9">
        <f t="shared" si="5"/>
        <v>4.5970101334511883E-2</v>
      </c>
    </row>
    <row r="29" spans="1:14" x14ac:dyDescent="0.3">
      <c r="A29" s="7">
        <v>0.87363921779999998</v>
      </c>
      <c r="B29" s="8">
        <v>198.81</v>
      </c>
      <c r="C29" s="9">
        <f t="shared" si="7"/>
        <v>3.3402308200000008E-2</v>
      </c>
      <c r="D29" s="9">
        <v>10.330539590000001</v>
      </c>
      <c r="E29" s="9">
        <v>0.7490944839</v>
      </c>
      <c r="F29" s="9" t="s">
        <v>16</v>
      </c>
      <c r="G29" s="9">
        <f t="shared" si="8"/>
        <v>3.1520000000000003E-9</v>
      </c>
      <c r="H29" s="9">
        <f t="shared" si="6"/>
        <v>5.0000000000000001E-4</v>
      </c>
      <c r="I29" s="9">
        <f t="shared" si="0"/>
        <v>118828.43970494923</v>
      </c>
      <c r="J29" s="10">
        <v>15000000</v>
      </c>
      <c r="K29" s="9">
        <f t="shared" si="1"/>
        <v>126.23240730287269</v>
      </c>
      <c r="L29" s="9">
        <f t="shared" si="9"/>
        <v>7.9218959803299488E-2</v>
      </c>
      <c r="M29" s="9">
        <f t="shared" si="4"/>
        <v>0.13880226135290896</v>
      </c>
      <c r="N29" s="9">
        <f t="shared" si="5"/>
        <v>5.0606417247078699E-2</v>
      </c>
    </row>
    <row r="30" spans="1:14" x14ac:dyDescent="0.3">
      <c r="A30" s="7">
        <v>0.90371479129999999</v>
      </c>
      <c r="B30" s="8">
        <v>180.98</v>
      </c>
      <c r="C30" s="9">
        <f t="shared" si="7"/>
        <v>3.0075573500000008E-2</v>
      </c>
      <c r="D30" s="9">
        <v>7.2746903190000003</v>
      </c>
      <c r="E30" s="9">
        <v>0.4203135509</v>
      </c>
      <c r="F30" s="9" t="s">
        <v>16</v>
      </c>
      <c r="G30" s="9">
        <f t="shared" si="8"/>
        <v>3.1520000000000003E-9</v>
      </c>
      <c r="H30" s="9">
        <f t="shared" si="6"/>
        <v>5.0000000000000001E-4</v>
      </c>
      <c r="I30" s="9">
        <f t="shared" si="0"/>
        <v>66674.103886421319</v>
      </c>
      <c r="J30" s="10">
        <v>15000000</v>
      </c>
      <c r="K30" s="9">
        <f t="shared" si="1"/>
        <v>224.97490218319774</v>
      </c>
      <c r="L30" s="9">
        <f t="shared" si="9"/>
        <v>4.444940259094754E-2</v>
      </c>
      <c r="M30" s="9">
        <f t="shared" si="4"/>
        <v>0.1401391026275641</v>
      </c>
      <c r="N30" s="9">
        <f t="shared" si="5"/>
        <v>5.4821181128378048E-2</v>
      </c>
    </row>
    <row r="31" spans="1:14" x14ac:dyDescent="0.3">
      <c r="A31" s="7">
        <v>0.93013411560000003</v>
      </c>
      <c r="B31" s="8">
        <v>160.72</v>
      </c>
      <c r="C31" s="9">
        <f t="shared" si="7"/>
        <v>2.6419324300000047E-2</v>
      </c>
      <c r="D31" s="9">
        <v>4.8180927369999997</v>
      </c>
      <c r="E31" s="9">
        <v>0.21425771020000001</v>
      </c>
      <c r="F31" s="9" t="s">
        <v>16</v>
      </c>
      <c r="G31" s="9">
        <f t="shared" si="8"/>
        <v>3.1520000000000003E-9</v>
      </c>
      <c r="H31" s="9">
        <f t="shared" si="6"/>
        <v>5.0000000000000001E-4</v>
      </c>
      <c r="I31" s="9">
        <f t="shared" si="0"/>
        <v>33987.580932741119</v>
      </c>
      <c r="J31" s="10">
        <v>15000000</v>
      </c>
      <c r="K31" s="9">
        <f t="shared" si="1"/>
        <v>441.33767653790596</v>
      </c>
      <c r="L31" s="9">
        <f t="shared" si="9"/>
        <v>2.2658387288494074E-2</v>
      </c>
      <c r="M31" s="9">
        <f t="shared" si="4"/>
        <v>0.14073772190945383</v>
      </c>
      <c r="N31" s="9">
        <f t="shared" si="5"/>
        <v>5.8539376644747128E-2</v>
      </c>
    </row>
    <row r="32" spans="1:14" x14ac:dyDescent="0.3">
      <c r="A32" s="8">
        <v>0.95260773519999997</v>
      </c>
      <c r="B32" s="8">
        <v>138.21</v>
      </c>
      <c r="C32" s="9">
        <f t="shared" si="7"/>
        <v>2.2473619599999939E-2</v>
      </c>
      <c r="D32" s="9">
        <v>2.9404627429999999</v>
      </c>
      <c r="E32" s="9">
        <v>9.6148834830000002E-2</v>
      </c>
      <c r="F32" s="9" t="s">
        <v>16</v>
      </c>
      <c r="G32" s="9">
        <f t="shared" si="8"/>
        <v>3.1520000000000003E-9</v>
      </c>
      <c r="H32" s="9">
        <f t="shared" si="6"/>
        <v>5.0000000000000001E-4</v>
      </c>
      <c r="I32" s="9">
        <f t="shared" si="0"/>
        <v>15252.035981916242</v>
      </c>
      <c r="J32" s="10">
        <v>15000000</v>
      </c>
      <c r="K32" s="9">
        <f t="shared" si="1"/>
        <v>983.47525653525395</v>
      </c>
      <c r="L32" s="9">
        <f t="shared" si="9"/>
        <v>1.016802398794416E-2</v>
      </c>
      <c r="M32" s="9">
        <f t="shared" si="4"/>
        <v>0.14096623421264257</v>
      </c>
      <c r="N32" s="9">
        <f t="shared" si="5"/>
        <v>6.1707398168886554E-2</v>
      </c>
    </row>
    <row r="33" spans="1:15" x14ac:dyDescent="0.3">
      <c r="A33" s="8">
        <v>0.97088942440000003</v>
      </c>
      <c r="B33" s="8">
        <v>113.7</v>
      </c>
      <c r="C33" s="9">
        <f t="shared" si="7"/>
        <v>1.8281689200000062E-2</v>
      </c>
      <c r="D33" s="9">
        <v>1.598781663</v>
      </c>
      <c r="E33" s="9">
        <v>3.6064527229999997E-2</v>
      </c>
      <c r="F33" s="9" t="s">
        <v>16</v>
      </c>
      <c r="G33" s="9">
        <f t="shared" si="8"/>
        <v>3.1520000000000003E-9</v>
      </c>
      <c r="H33" s="9">
        <f t="shared" si="6"/>
        <v>5.0000000000000001E-4</v>
      </c>
      <c r="I33" s="9">
        <f t="shared" si="0"/>
        <v>5720.8958169416237</v>
      </c>
      <c r="J33" s="10">
        <v>15000000</v>
      </c>
      <c r="K33" s="9">
        <f t="shared" si="1"/>
        <v>2621.9669925782641</v>
      </c>
      <c r="L33" s="9">
        <f t="shared" si="9"/>
        <v>3.8139305446277488E-3</v>
      </c>
      <c r="M33" s="9">
        <f t="shared" si="4"/>
        <v>0.14103595930548984</v>
      </c>
      <c r="N33" s="9">
        <f t="shared" si="5"/>
        <v>6.4285773742933372E-2</v>
      </c>
    </row>
    <row r="34" spans="1:15" x14ac:dyDescent="0.3">
      <c r="A34" s="8">
        <v>0.98477888520000001</v>
      </c>
      <c r="B34" s="8">
        <v>87.58</v>
      </c>
      <c r="C34" s="9">
        <f t="shared" si="7"/>
        <v>1.3889460799999975E-2</v>
      </c>
      <c r="D34" s="9">
        <v>0.72791950520000004</v>
      </c>
      <c r="E34" s="9">
        <v>1.027657035E-2</v>
      </c>
      <c r="F34" s="9" t="s">
        <v>16</v>
      </c>
      <c r="G34" s="9">
        <f t="shared" si="8"/>
        <v>3.1520000000000003E-9</v>
      </c>
      <c r="H34" s="9">
        <f t="shared" si="6"/>
        <v>5.0000000000000001E-4</v>
      </c>
      <c r="I34" s="9">
        <f t="shared" si="0"/>
        <v>1630.1666164340099</v>
      </c>
      <c r="J34" s="10">
        <v>15000000</v>
      </c>
      <c r="K34" s="9">
        <f t="shared" si="1"/>
        <v>9201.5134212553712</v>
      </c>
      <c r="L34" s="9">
        <f t="shared" si="9"/>
        <v>1.0867777442893399E-3</v>
      </c>
      <c r="M34" s="9">
        <f t="shared" si="4"/>
        <v>0.14105105406236745</v>
      </c>
      <c r="N34" s="9">
        <f t="shared" si="5"/>
        <v>6.6244896829131303E-2</v>
      </c>
    </row>
    <row r="35" spans="1:15" x14ac:dyDescent="0.3">
      <c r="A35" s="9">
        <v>0.99412394169999996</v>
      </c>
      <c r="B35" s="9">
        <v>60.45</v>
      </c>
      <c r="C35" s="9">
        <f t="shared" si="7"/>
        <v>9.3450564999999486E-3</v>
      </c>
      <c r="D35" s="9">
        <v>0.2422964235</v>
      </c>
      <c r="E35" s="9">
        <v>1.796914972E-3</v>
      </c>
      <c r="F35" s="9" t="s">
        <v>16</v>
      </c>
      <c r="G35" s="9">
        <f t="shared" si="8"/>
        <v>3.1520000000000003E-9</v>
      </c>
      <c r="H35" s="9">
        <f t="shared" si="6"/>
        <v>5.0000000000000001E-4</v>
      </c>
      <c r="I35" s="9">
        <f t="shared" si="0"/>
        <v>285.0436186548223</v>
      </c>
      <c r="J35" s="10">
        <v>15000000</v>
      </c>
      <c r="K35" s="9">
        <f t="shared" si="1"/>
        <v>52623.525026759038</v>
      </c>
      <c r="L35" s="9">
        <f t="shared" si="9"/>
        <v>1.9002907910321487E-4</v>
      </c>
      <c r="M35" s="9">
        <f t="shared" si="4"/>
        <v>0.14105282989484833</v>
      </c>
      <c r="N35" s="9">
        <f t="shared" si="5"/>
        <v>6.7563043493983538E-2</v>
      </c>
    </row>
    <row r="36" spans="1:15" x14ac:dyDescent="0.3">
      <c r="A36" s="9">
        <v>0.99882220749999995</v>
      </c>
      <c r="B36" s="9">
        <v>34.090000000000003</v>
      </c>
      <c r="C36" s="9">
        <f>ABS(A35-A36)</f>
        <v>4.6982657999999899E-3</v>
      </c>
      <c r="D36" s="9">
        <v>3.8597108909999997E-2</v>
      </c>
      <c r="E36" s="9">
        <v>9.0919000000000001E-5</v>
      </c>
      <c r="F36" s="9" t="s">
        <v>16</v>
      </c>
      <c r="G36" s="9">
        <f t="shared" si="8"/>
        <v>3.1520000000000003E-9</v>
      </c>
      <c r="H36" s="9">
        <f t="shared" si="6"/>
        <v>5.0000000000000001E-4</v>
      </c>
      <c r="I36" s="9">
        <f t="shared" si="0"/>
        <v>14.422430203045685</v>
      </c>
      <c r="J36" s="10">
        <v>15000000</v>
      </c>
      <c r="K36" s="9">
        <f t="shared" si="1"/>
        <v>1040046.634916794</v>
      </c>
      <c r="L36" s="9">
        <f t="shared" si="9"/>
        <v>9.614953468697123E-6</v>
      </c>
      <c r="M36" s="9">
        <f t="shared" si="4"/>
        <v>0.14105287506845537</v>
      </c>
      <c r="N36" s="9">
        <f t="shared" si="5"/>
        <v>6.8225747392909333E-2</v>
      </c>
      <c r="O36" s="1"/>
    </row>
    <row r="37" spans="1:15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1"/>
    </row>
    <row r="38" spans="1:15" x14ac:dyDescent="0.3">
      <c r="A38" s="9"/>
      <c r="B38" s="9"/>
      <c r="C38" s="9"/>
      <c r="D38" s="9"/>
      <c r="E38" s="9"/>
      <c r="F38" s="5" t="s">
        <v>10</v>
      </c>
      <c r="G38" s="5" t="s">
        <v>11</v>
      </c>
      <c r="H38" s="5" t="s">
        <v>12</v>
      </c>
      <c r="I38" s="6" t="s">
        <v>29</v>
      </c>
      <c r="J38" s="6" t="s">
        <v>28</v>
      </c>
      <c r="K38" s="5" t="s">
        <v>13</v>
      </c>
      <c r="L38" s="5" t="s">
        <v>14</v>
      </c>
      <c r="M38" s="5" t="s">
        <v>24</v>
      </c>
      <c r="N38" s="5" t="s">
        <v>15</v>
      </c>
      <c r="O38" s="1"/>
    </row>
    <row r="39" spans="1:15" x14ac:dyDescent="0.3">
      <c r="A39" s="11" t="s">
        <v>0</v>
      </c>
      <c r="B39" s="9"/>
      <c r="C39" s="9"/>
      <c r="D39" s="9"/>
      <c r="E39" s="9"/>
      <c r="F39" s="9" t="s">
        <v>21</v>
      </c>
      <c r="G39" s="9">
        <f>(PI()*((D47^4)-((D47-2*E47)^4)))/64</f>
        <v>2.3309832091472876E-8</v>
      </c>
      <c r="H39" s="9">
        <f>D47/2</f>
        <v>0.02</v>
      </c>
      <c r="I39" s="9">
        <f>(E2*H39/G39)</f>
        <v>52489719.917269863</v>
      </c>
      <c r="J39" s="9">
        <v>650000000</v>
      </c>
      <c r="K39" s="9">
        <f t="shared" ref="K39:K73" si="10">J39/I39</f>
        <v>12.383377183655742</v>
      </c>
      <c r="L39" s="9">
        <f>E2/ (C57*G39)</f>
        <v>1.1410808677667363E-2</v>
      </c>
      <c r="M39" s="9">
        <v>0</v>
      </c>
      <c r="N39" s="9">
        <v>0</v>
      </c>
    </row>
    <row r="40" spans="1:15" x14ac:dyDescent="0.3">
      <c r="A40" s="11" t="s">
        <v>2</v>
      </c>
      <c r="B40" s="11" t="s">
        <v>3</v>
      </c>
      <c r="C40" s="11" t="s">
        <v>4</v>
      </c>
      <c r="D40" s="11" t="s">
        <v>17</v>
      </c>
      <c r="E40" s="11" t="s">
        <v>18</v>
      </c>
      <c r="F40" s="9" t="s">
        <v>21</v>
      </c>
      <c r="G40" s="9">
        <f>G39</f>
        <v>2.3309832091472876E-8</v>
      </c>
      <c r="H40" s="9">
        <f>H39</f>
        <v>0.02</v>
      </c>
      <c r="I40" s="9">
        <f>(E3*H40/G40)</f>
        <v>47431494.103488386</v>
      </c>
      <c r="J40" s="9">
        <v>650000000</v>
      </c>
      <c r="K40" s="9">
        <f t="shared" si="10"/>
        <v>13.703974801674976</v>
      </c>
      <c r="L40" s="9">
        <f>E3/ (C58*G40)</f>
        <v>1.0311194370323563E-2</v>
      </c>
      <c r="M40" s="9">
        <f>M39 + (L40 * C3)</f>
        <v>4.5971246472510218E-4</v>
      </c>
      <c r="N40" s="9">
        <f>N39 + (M40 * C3)</f>
        <v>2.0495739158197702E-5</v>
      </c>
    </row>
    <row r="41" spans="1:15" x14ac:dyDescent="0.3">
      <c r="A41" s="9">
        <v>1</v>
      </c>
      <c r="B41" s="9">
        <v>0</v>
      </c>
      <c r="C41" s="9">
        <v>0.3</v>
      </c>
      <c r="D41" s="9">
        <v>0.06</v>
      </c>
      <c r="E41" s="9">
        <v>3.2000000000000001E-2</v>
      </c>
      <c r="F41" s="9" t="s">
        <v>21</v>
      </c>
      <c r="G41" s="9">
        <f t="shared" ref="G41:H56" si="11">G40</f>
        <v>2.3309832091472876E-8</v>
      </c>
      <c r="H41" s="9">
        <f t="shared" si="11"/>
        <v>0.02</v>
      </c>
      <c r="I41" s="9">
        <f>(E4*H41/G41)</f>
        <v>42668595.899660744</v>
      </c>
      <c r="J41" s="9">
        <v>650000000</v>
      </c>
      <c r="K41" s="9">
        <f t="shared" si="10"/>
        <v>15.233686187577785</v>
      </c>
      <c r="L41" s="9">
        <f>E4/ (C59*G41)</f>
        <v>9.2757817173175546E-3</v>
      </c>
      <c r="M41" s="9">
        <f>M40 + (L41 * C4)</f>
        <v>8.694338166779635E-4</v>
      </c>
      <c r="N41" s="9">
        <f>N40 + (M41 * C4)</f>
        <v>5.8899575045988257E-5</v>
      </c>
    </row>
    <row r="42" spans="1:15" x14ac:dyDescent="0.3">
      <c r="A42" s="9">
        <v>2</v>
      </c>
      <c r="B42" s="9">
        <v>0.3</v>
      </c>
      <c r="C42" s="9">
        <v>0.7</v>
      </c>
      <c r="D42" s="9">
        <v>4.8000000000000001E-2</v>
      </c>
      <c r="E42" s="9">
        <v>0.02</v>
      </c>
      <c r="F42" s="9" t="s">
        <v>21</v>
      </c>
      <c r="G42" s="9">
        <f t="shared" si="11"/>
        <v>2.3309832091472876E-8</v>
      </c>
      <c r="H42" s="9">
        <f t="shared" si="11"/>
        <v>0.02</v>
      </c>
      <c r="I42" s="9">
        <f>(E5*H42/G42)</f>
        <v>38223639.411196694</v>
      </c>
      <c r="J42" s="9">
        <v>650000000</v>
      </c>
      <c r="K42" s="9">
        <f t="shared" si="10"/>
        <v>17.005183441783885</v>
      </c>
      <c r="L42" s="9">
        <f>E5/ (C60*G42)</f>
        <v>8.3094868285210205E-3</v>
      </c>
      <c r="M42" s="9">
        <f>M41 + (L42 * C5)</f>
        <v>1.2307803354022519E-3</v>
      </c>
      <c r="N42" s="9">
        <f>N41 + (M42 * C5)</f>
        <v>1.1242131455767762E-4</v>
      </c>
    </row>
    <row r="43" spans="1:15" x14ac:dyDescent="0.3">
      <c r="A43" s="9">
        <v>3</v>
      </c>
      <c r="B43" s="9">
        <v>0.7</v>
      </c>
      <c r="C43" s="9">
        <v>1</v>
      </c>
      <c r="D43" s="9">
        <v>0.04</v>
      </c>
      <c r="E43" s="9">
        <v>0.01</v>
      </c>
      <c r="F43" s="9" t="s">
        <v>21</v>
      </c>
      <c r="G43" s="9">
        <f t="shared" si="11"/>
        <v>2.3309832091472876E-8</v>
      </c>
      <c r="H43" s="9">
        <f t="shared" si="11"/>
        <v>0.02</v>
      </c>
      <c r="I43" s="9">
        <f>(E6*H43/G43)</f>
        <v>34112344.45103018</v>
      </c>
      <c r="J43" s="9">
        <v>650000000</v>
      </c>
      <c r="K43" s="9">
        <f t="shared" si="10"/>
        <v>19.054685641237722</v>
      </c>
      <c r="L43" s="9">
        <f>E6/ (C61*G43)</f>
        <v>7.4157270545717789E-3</v>
      </c>
      <c r="M43" s="9">
        <f>M42 + (L43 * C6)</f>
        <v>1.5461923418552952E-3</v>
      </c>
      <c r="N43" s="9">
        <f>N42 + (M43 * C6)</f>
        <v>1.7818528150495761E-4</v>
      </c>
    </row>
    <row r="44" spans="1:15" x14ac:dyDescent="0.3">
      <c r="A44" s="9"/>
      <c r="B44" s="9"/>
      <c r="C44" s="9"/>
      <c r="D44" s="9"/>
      <c r="E44" s="9"/>
      <c r="F44" s="9" t="s">
        <v>21</v>
      </c>
      <c r="G44" s="9">
        <f t="shared" si="11"/>
        <v>2.3309832091472876E-8</v>
      </c>
      <c r="H44" s="9">
        <f t="shared" si="11"/>
        <v>0.02</v>
      </c>
      <c r="I44" s="9">
        <f>(E7*H44/G44)</f>
        <v>30343756.463983499</v>
      </c>
      <c r="J44" s="9">
        <v>650000000</v>
      </c>
      <c r="K44" s="9">
        <f t="shared" si="10"/>
        <v>21.421210678760787</v>
      </c>
      <c r="L44" s="9">
        <f>E7/ (C62*G44)</f>
        <v>6.5964687965181521E-3</v>
      </c>
      <c r="M44" s="9">
        <f>M43 + (L44 * C7)</f>
        <v>1.8187416049355253E-3</v>
      </c>
      <c r="N44" s="9">
        <f>N43 + (M44 * C7)</f>
        <v>2.5333104501105931E-4</v>
      </c>
    </row>
    <row r="45" spans="1:15" x14ac:dyDescent="0.3">
      <c r="A45" s="11" t="s">
        <v>1</v>
      </c>
      <c r="B45" s="9"/>
      <c r="C45" s="9"/>
      <c r="D45" s="9"/>
      <c r="E45" s="9"/>
      <c r="F45" s="9" t="s">
        <v>21</v>
      </c>
      <c r="G45" s="9">
        <f t="shared" si="11"/>
        <v>2.3309832091472876E-8</v>
      </c>
      <c r="H45" s="9">
        <f t="shared" si="11"/>
        <v>0.02</v>
      </c>
      <c r="I45" s="9">
        <f>(E8*H45/G45)</f>
        <v>26920635.392717205</v>
      </c>
      <c r="J45" s="9">
        <v>650000000</v>
      </c>
      <c r="K45" s="9">
        <f t="shared" si="10"/>
        <v>24.14504674640196</v>
      </c>
      <c r="L45" s="9">
        <f>E8/ (C63*G45)</f>
        <v>5.8523120418950449E-3</v>
      </c>
      <c r="M45" s="9">
        <f>M44 + (L45 * C8)</f>
        <v>2.0519405087902742E-3</v>
      </c>
      <c r="N45" s="9">
        <f>N44 + (M45 * C8)</f>
        <v>3.3509535867026416E-4</v>
      </c>
    </row>
    <row r="46" spans="1:15" x14ac:dyDescent="0.3">
      <c r="A46" s="11" t="s">
        <v>2</v>
      </c>
      <c r="B46" s="11" t="s">
        <v>3</v>
      </c>
      <c r="C46" s="11" t="s">
        <v>4</v>
      </c>
      <c r="D46" s="11" t="s">
        <v>19</v>
      </c>
      <c r="E46" s="11" t="s">
        <v>20</v>
      </c>
      <c r="F46" s="9" t="s">
        <v>21</v>
      </c>
      <c r="G46" s="9">
        <f>(PI()*((D48^4)-((D48-2*E48)^4)))/64</f>
        <v>1.1711072014419351E-8</v>
      </c>
      <c r="H46" s="9">
        <f>D48/2</f>
        <v>1.6E-2</v>
      </c>
      <c r="I46" s="9">
        <f>(E9*H46/G46)</f>
        <v>37961088.864676587</v>
      </c>
      <c r="J46" s="9">
        <v>650000000</v>
      </c>
      <c r="K46" s="9">
        <f t="shared" si="10"/>
        <v>17.122796511899733</v>
      </c>
      <c r="L46" s="9">
        <f>E9/ (C64*G46)</f>
        <v>1.0315513278444724E-2</v>
      </c>
      <c r="M46" s="9">
        <f>M45 + (L46 * C9)</f>
        <v>2.4452865549448558E-3</v>
      </c>
      <c r="N46" s="9">
        <f>N45 + (M46 * C9)</f>
        <v>4.283378151665767E-4</v>
      </c>
    </row>
    <row r="47" spans="1:15" x14ac:dyDescent="0.3">
      <c r="A47" s="9">
        <v>1</v>
      </c>
      <c r="B47" s="9">
        <v>0</v>
      </c>
      <c r="C47" s="9">
        <v>0.3</v>
      </c>
      <c r="D47" s="9">
        <v>0.04</v>
      </c>
      <c r="E47" s="9">
        <v>1E-3</v>
      </c>
      <c r="F47" s="9" t="s">
        <v>21</v>
      </c>
      <c r="G47" s="9">
        <f t="shared" si="11"/>
        <v>1.1711072014419351E-8</v>
      </c>
      <c r="H47" s="9">
        <f>H46</f>
        <v>1.6E-2</v>
      </c>
      <c r="I47" s="9">
        <f>(E10*H47/G47)</f>
        <v>33588209.953425251</v>
      </c>
      <c r="J47" s="9">
        <v>650000000</v>
      </c>
      <c r="K47" s="9">
        <f t="shared" si="10"/>
        <v>19.352028610673681</v>
      </c>
      <c r="L47" s="9">
        <f>E10/ (C65*G47)</f>
        <v>9.1272309656046883E-3</v>
      </c>
      <c r="M47" s="9">
        <f>M46 + (L47 * C10)</f>
        <v>2.7755152750007055E-3</v>
      </c>
      <c r="N47" s="9">
        <f>N46 + (M47 * C10)</f>
        <v>5.2875763145181296E-4</v>
      </c>
    </row>
    <row r="48" spans="1:15" x14ac:dyDescent="0.3">
      <c r="A48" s="9">
        <v>2</v>
      </c>
      <c r="B48" s="9">
        <v>0.3</v>
      </c>
      <c r="C48" s="9">
        <v>0.7</v>
      </c>
      <c r="D48" s="9">
        <v>3.2000000000000001E-2</v>
      </c>
      <c r="E48" s="9">
        <v>1E-3</v>
      </c>
      <c r="F48" s="9" t="s">
        <v>21</v>
      </c>
      <c r="G48" s="9">
        <f t="shared" si="11"/>
        <v>1.1711072014419351E-8</v>
      </c>
      <c r="H48" s="9">
        <f t="shared" si="11"/>
        <v>1.6E-2</v>
      </c>
      <c r="I48" s="9">
        <f>(E11*H48/G48)</f>
        <v>29728155.8555305</v>
      </c>
      <c r="J48" s="9">
        <v>650000000</v>
      </c>
      <c r="K48" s="9">
        <f t="shared" si="10"/>
        <v>21.864793872811884</v>
      </c>
      <c r="L48" s="9">
        <f>E11/ (C66*G48)</f>
        <v>8.0783032216115488E-3</v>
      </c>
      <c r="M48" s="9">
        <f>M47 + (L48 * C11)</f>
        <v>3.0502311840773736E-3</v>
      </c>
      <c r="N48" s="9">
        <f>N47 + (M48 * C11)</f>
        <v>6.3248572999435003E-4</v>
      </c>
    </row>
    <row r="49" spans="1:14" x14ac:dyDescent="0.3">
      <c r="A49" s="9">
        <v>3</v>
      </c>
      <c r="B49" s="9">
        <v>0.7</v>
      </c>
      <c r="C49" s="9">
        <v>1</v>
      </c>
      <c r="D49" s="9">
        <v>2.4E-2</v>
      </c>
      <c r="E49" s="9">
        <v>1E-3</v>
      </c>
      <c r="F49" s="9" t="s">
        <v>21</v>
      </c>
      <c r="G49" s="9">
        <f t="shared" si="11"/>
        <v>1.1711072014419351E-8</v>
      </c>
      <c r="H49" s="9">
        <f t="shared" si="11"/>
        <v>1.6E-2</v>
      </c>
      <c r="I49" s="9">
        <f>(E12*H49/G49)</f>
        <v>26355746.461123906</v>
      </c>
      <c r="J49" s="9">
        <v>650000000</v>
      </c>
      <c r="K49" s="9">
        <f t="shared" si="10"/>
        <v>24.662553229474405</v>
      </c>
      <c r="L49" s="9">
        <f>E12/ (C67*G49)</f>
        <v>7.1618876253054086E-3</v>
      </c>
      <c r="M49" s="9">
        <f>M48 + (L49 * C12)</f>
        <v>3.2767116065856197E-3</v>
      </c>
      <c r="N49" s="9">
        <f>N48 + (M49 * C12)</f>
        <v>7.3610520406638827E-4</v>
      </c>
    </row>
    <row r="50" spans="1:14" x14ac:dyDescent="0.3">
      <c r="A50" s="9"/>
      <c r="B50" s="9"/>
      <c r="C50" s="9"/>
      <c r="D50" s="9"/>
      <c r="E50" s="9"/>
      <c r="F50" s="9" t="s">
        <v>21</v>
      </c>
      <c r="G50" s="9">
        <f t="shared" si="11"/>
        <v>1.1711072014419351E-8</v>
      </c>
      <c r="H50" s="9">
        <f t="shared" si="11"/>
        <v>1.6E-2</v>
      </c>
      <c r="I50" s="9">
        <f>(E13*H50/G50)</f>
        <v>23441731.515439872</v>
      </c>
      <c r="J50" s="9">
        <v>650000000</v>
      </c>
      <c r="K50" s="9">
        <f t="shared" si="10"/>
        <v>27.728327131973089</v>
      </c>
      <c r="L50" s="9">
        <f>E13/ (C68*G50)</f>
        <v>6.3700357378912694E-3</v>
      </c>
      <c r="M50" s="9">
        <f>M49 + (L50 * C13)</f>
        <v>3.4617255426416219E-3</v>
      </c>
      <c r="N50" s="9">
        <f>N49 + (M50 * C13)</f>
        <v>8.3664898349606958E-4</v>
      </c>
    </row>
    <row r="51" spans="1:14" x14ac:dyDescent="0.3">
      <c r="A51" s="11" t="s">
        <v>22</v>
      </c>
      <c r="B51" s="11" t="s">
        <v>23</v>
      </c>
      <c r="C51" s="9"/>
      <c r="D51" s="9"/>
      <c r="E51" s="9"/>
      <c r="F51" s="9" t="s">
        <v>21</v>
      </c>
      <c r="G51" s="9">
        <f t="shared" si="11"/>
        <v>1.1711072014419351E-8</v>
      </c>
      <c r="H51" s="9">
        <f>H50</f>
        <v>1.6E-2</v>
      </c>
      <c r="I51" s="9">
        <f>(E14*H51/G51)</f>
        <v>20954242.031630702</v>
      </c>
      <c r="J51" s="9">
        <v>650000000</v>
      </c>
      <c r="K51" s="9">
        <f t="shared" si="10"/>
        <v>31.01997194738977</v>
      </c>
      <c r="L51" s="9">
        <f>E14/ (C69*G51)</f>
        <v>5.6940875085952991E-3</v>
      </c>
      <c r="M51" s="9">
        <f>M50 + (L51 * C14)</f>
        <v>3.6114045746818394E-3</v>
      </c>
      <c r="N51" s="9">
        <f>N50 + (M51 * C14)</f>
        <v>9.3158105825396926E-4</v>
      </c>
    </row>
    <row r="52" spans="1:14" x14ac:dyDescent="0.3">
      <c r="A52" s="9">
        <v>1</v>
      </c>
      <c r="B52" s="9">
        <v>5.0000000000000001E-3</v>
      </c>
      <c r="C52" s="9"/>
      <c r="D52" s="9"/>
      <c r="E52" s="9"/>
      <c r="F52" s="9" t="s">
        <v>21</v>
      </c>
      <c r="G52" s="9">
        <f>(PI()*((D49^4)-((D49-2*E49)^4)))/64</f>
        <v>4.7870018059074508E-9</v>
      </c>
      <c r="H52" s="9">
        <f>D49/2</f>
        <v>1.2E-2</v>
      </c>
      <c r="I52" s="9">
        <f>(E15*H52/G52)</f>
        <v>34605176.157563098</v>
      </c>
      <c r="J52" s="9">
        <v>650000000</v>
      </c>
      <c r="K52" s="9">
        <f t="shared" si="10"/>
        <v>18.783317184702149</v>
      </c>
      <c r="L52" s="9">
        <f>E15/ (C70*G52)</f>
        <v>1.253810730346489E-2</v>
      </c>
      <c r="M52" s="9">
        <f>M51 + (L52 * C15)</f>
        <v>3.9043827286516205E-3</v>
      </c>
      <c r="N52" s="9">
        <f>N51 + (M52 * C15)</f>
        <v>1.0228148319444954E-3</v>
      </c>
    </row>
    <row r="53" spans="1:14" x14ac:dyDescent="0.3">
      <c r="A53" s="9">
        <v>2</v>
      </c>
      <c r="B53" s="9">
        <v>3.0000000000000001E-3</v>
      </c>
      <c r="C53" s="9"/>
      <c r="D53" s="9"/>
      <c r="E53" s="9"/>
      <c r="F53" s="9" t="s">
        <v>21</v>
      </c>
      <c r="G53" s="9">
        <f t="shared" si="11"/>
        <v>4.7870018059074508E-9</v>
      </c>
      <c r="H53" s="9">
        <f>H52</f>
        <v>1.2E-2</v>
      </c>
      <c r="I53" s="9">
        <f>(E16*H53/G53)</f>
        <v>31424617.591403581</v>
      </c>
      <c r="J53" s="9">
        <v>650000000</v>
      </c>
      <c r="K53" s="9">
        <f t="shared" si="10"/>
        <v>20.684420362773544</v>
      </c>
      <c r="L53" s="9">
        <f>E16/ (C71*G53)</f>
        <v>1.1385731011378108E-2</v>
      </c>
      <c r="M53" s="9">
        <f>M52 + (L53 * C16)</f>
        <v>4.1355497302364526E-3</v>
      </c>
      <c r="N53" s="9">
        <f>N52 + (M53 * C16)</f>
        <v>1.1067798079384267E-3</v>
      </c>
    </row>
    <row r="54" spans="1:14" x14ac:dyDescent="0.3">
      <c r="A54" s="9"/>
      <c r="B54" s="9"/>
      <c r="C54" s="9"/>
      <c r="D54" s="9"/>
      <c r="E54" s="9"/>
      <c r="F54" s="9" t="s">
        <v>21</v>
      </c>
      <c r="G54" s="9">
        <f t="shared" si="11"/>
        <v>4.7870018059074508E-9</v>
      </c>
      <c r="H54" s="9">
        <f t="shared" si="11"/>
        <v>1.2E-2</v>
      </c>
      <c r="I54" s="9">
        <f>(E17*H54/G54)</f>
        <v>28847950.161535796</v>
      </c>
      <c r="J54" s="9">
        <v>650000000</v>
      </c>
      <c r="K54" s="9">
        <f t="shared" si="10"/>
        <v>22.531930218968306</v>
      </c>
      <c r="L54" s="9">
        <f>E17/ (C72*G54)</f>
        <v>1.0452155855628911E-2</v>
      </c>
      <c r="M54" s="9">
        <f>M53 + (L54 * C17)</f>
        <v>4.3144305176843383E-3</v>
      </c>
      <c r="N54" s="9">
        <f>N53 + (M54 * C17)</f>
        <v>1.1806180417968451E-3</v>
      </c>
    </row>
    <row r="55" spans="1:14" x14ac:dyDescent="0.3">
      <c r="A55" s="9"/>
      <c r="B55" s="9"/>
      <c r="C55" s="9"/>
      <c r="D55" s="9"/>
      <c r="E55" s="9"/>
      <c r="F55" s="9" t="s">
        <v>21</v>
      </c>
      <c r="G55" s="9">
        <f t="shared" si="11"/>
        <v>4.7870018059074508E-9</v>
      </c>
      <c r="H55" s="9">
        <f t="shared" si="11"/>
        <v>1.2E-2</v>
      </c>
      <c r="I55" s="9">
        <f>(E18*H55/G55)</f>
        <v>26822145.544534683</v>
      </c>
      <c r="J55" s="9">
        <v>650000000</v>
      </c>
      <c r="K55" s="9">
        <f t="shared" si="10"/>
        <v>24.233706394619311</v>
      </c>
      <c r="L55" s="9">
        <f>E18/ (C73*G55)</f>
        <v>9.7181686755560444E-3</v>
      </c>
      <c r="M55" s="9">
        <f>M54 + (L55 * C18)</f>
        <v>4.4487332861382085E-3</v>
      </c>
      <c r="N55" s="9">
        <f>N54 + (M55 * C18)</f>
        <v>1.2420984725640195E-3</v>
      </c>
    </row>
    <row r="56" spans="1:14" x14ac:dyDescent="0.3">
      <c r="A56" s="11" t="s">
        <v>25</v>
      </c>
      <c r="B56" s="11" t="s">
        <v>26</v>
      </c>
      <c r="C56" s="11" t="s">
        <v>27</v>
      </c>
      <c r="D56" s="9"/>
      <c r="E56" s="9"/>
      <c r="F56" s="9" t="s">
        <v>21</v>
      </c>
      <c r="G56" s="9">
        <f t="shared" si="11"/>
        <v>4.7870018059074508E-9</v>
      </c>
      <c r="H56" s="9">
        <f t="shared" si="11"/>
        <v>1.2E-2</v>
      </c>
      <c r="I56" s="9">
        <f>(E19*H56/G56)</f>
        <v>25300626.185379289</v>
      </c>
      <c r="J56" s="9">
        <v>650000000</v>
      </c>
      <c r="K56" s="9">
        <f t="shared" si="10"/>
        <v>25.691063740375785</v>
      </c>
      <c r="L56" s="9">
        <f>E19/ (C74*G56)</f>
        <v>9.1668935454272786E-3</v>
      </c>
      <c r="M56" s="9">
        <f>M55 + (L56 * C19)</f>
        <v>4.544436287268124E-3</v>
      </c>
      <c r="N56" s="9">
        <f>N55 + (M56 * C19)</f>
        <v>1.2895427009692027E-3</v>
      </c>
    </row>
    <row r="57" spans="1:14" x14ac:dyDescent="0.3">
      <c r="A57" s="9"/>
      <c r="B57" s="10">
        <v>3000000000</v>
      </c>
      <c r="C57" s="10">
        <v>230000000000</v>
      </c>
      <c r="D57" s="9">
        <f>(D43*(E43)^3)/12 - ((D43-(2*B53))*((E43-(2*B53))^3))/12</f>
        <v>3.1520000000000003E-9</v>
      </c>
      <c r="E57" s="9"/>
      <c r="F57" s="9" t="s">
        <v>21</v>
      </c>
      <c r="G57" s="9">
        <f>G56</f>
        <v>4.7870018059074508E-9</v>
      </c>
      <c r="H57" s="9">
        <f t="shared" ref="H57:H73" si="12">H56</f>
        <v>1.2E-2</v>
      </c>
      <c r="I57" s="9">
        <f>(E20*H57/G57)</f>
        <v>24244715.334089816</v>
      </c>
      <c r="J57" s="9">
        <v>650000000</v>
      </c>
      <c r="K57" s="9">
        <f t="shared" si="10"/>
        <v>26.809966256277434</v>
      </c>
      <c r="L57" s="9">
        <f>E20/ (C75*G57)</f>
        <v>8.78431715003254E-3</v>
      </c>
      <c r="M57" s="9">
        <f>M56 + (L57 * C20)</f>
        <v>4.6058914842458743E-3</v>
      </c>
      <c r="N57" s="9">
        <f>N56 + (M57 * C20)</f>
        <v>1.3217655776695759E-3</v>
      </c>
    </row>
    <row r="58" spans="1:14" x14ac:dyDescent="0.3">
      <c r="A58" s="9"/>
      <c r="B58" s="10">
        <v>3000000000</v>
      </c>
      <c r="C58" s="10">
        <v>230000000000</v>
      </c>
      <c r="D58" s="9"/>
      <c r="E58" s="9"/>
      <c r="F58" s="9" t="s">
        <v>21</v>
      </c>
      <c r="G58" s="9">
        <f t="shared" ref="G58:G73" si="13">G57</f>
        <v>4.7870018059074508E-9</v>
      </c>
      <c r="H58" s="9">
        <f t="shared" si="12"/>
        <v>1.2E-2</v>
      </c>
      <c r="I58" s="9">
        <f t="shared" ref="I58:I73" si="14">(E21*H58/G58)</f>
        <v>23624760.330033276</v>
      </c>
      <c r="J58" s="9">
        <v>650000000</v>
      </c>
      <c r="K58" s="9">
        <f t="shared" si="10"/>
        <v>27.513506631162699</v>
      </c>
      <c r="L58" s="9">
        <f t="shared" ref="L58:L73" si="15">E21/ (C76*G58)</f>
        <v>8.5596957717511864E-3</v>
      </c>
      <c r="M58" s="9">
        <f t="shared" ref="M58:M73" si="16">M57 + (L58 * C21)</f>
        <v>4.6359259416427975E-3</v>
      </c>
      <c r="N58" s="9">
        <f t="shared" ref="N58:N73" si="17">N57 + (M58 * C21)</f>
        <v>1.3380322212399088E-3</v>
      </c>
    </row>
    <row r="59" spans="1:14" x14ac:dyDescent="0.3">
      <c r="A59" s="9"/>
      <c r="B59" s="10">
        <v>3000000000</v>
      </c>
      <c r="C59" s="10">
        <v>230000000000</v>
      </c>
      <c r="D59" s="9"/>
      <c r="E59" s="9"/>
      <c r="F59" s="9" t="s">
        <v>21</v>
      </c>
      <c r="G59" s="9">
        <f t="shared" si="13"/>
        <v>4.7870018059074508E-9</v>
      </c>
      <c r="H59" s="9">
        <f t="shared" si="12"/>
        <v>1.2E-2</v>
      </c>
      <c r="I59" s="9">
        <f t="shared" si="14"/>
        <v>23420928.975970306</v>
      </c>
      <c r="J59" s="9">
        <v>650000000</v>
      </c>
      <c r="K59" s="9">
        <f t="shared" si="10"/>
        <v>27.752955515423622</v>
      </c>
      <c r="L59" s="9">
        <f t="shared" si="15"/>
        <v>8.4858438318732975E-3</v>
      </c>
      <c r="M59" s="9">
        <f t="shared" si="16"/>
        <v>4.8340888942565927E-3</v>
      </c>
      <c r="N59" s="9">
        <f t="shared" si="17"/>
        <v>1.45091873523459E-3</v>
      </c>
    </row>
    <row r="60" spans="1:14" x14ac:dyDescent="0.3">
      <c r="A60" s="9"/>
      <c r="B60" s="10">
        <v>3000000000</v>
      </c>
      <c r="C60" s="10">
        <v>230000000000</v>
      </c>
      <c r="D60" s="9"/>
      <c r="E60" s="9"/>
      <c r="F60" s="9" t="s">
        <v>21</v>
      </c>
      <c r="G60" s="9">
        <f t="shared" si="13"/>
        <v>4.7870018059074508E-9</v>
      </c>
      <c r="H60" s="9">
        <f t="shared" si="12"/>
        <v>1.2E-2</v>
      </c>
      <c r="I60" s="9">
        <f t="shared" si="14"/>
        <v>18234536.384816144</v>
      </c>
      <c r="J60" s="9">
        <v>650000000</v>
      </c>
      <c r="K60" s="9">
        <f t="shared" si="10"/>
        <v>35.646642518493287</v>
      </c>
      <c r="L60" s="9">
        <f t="shared" si="15"/>
        <v>6.6067160814551242E-3</v>
      </c>
      <c r="M60" s="9">
        <f t="shared" si="16"/>
        <v>5.1294157957010268E-3</v>
      </c>
      <c r="N60" s="9">
        <f t="shared" si="17"/>
        <v>1.6802088174006267E-3</v>
      </c>
    </row>
    <row r="61" spans="1:14" x14ac:dyDescent="0.3">
      <c r="A61" s="9"/>
      <c r="B61" s="10">
        <v>3000000000</v>
      </c>
      <c r="C61" s="10">
        <v>230000000000</v>
      </c>
      <c r="D61" s="9"/>
      <c r="E61" s="9"/>
      <c r="F61" s="9" t="s">
        <v>21</v>
      </c>
      <c r="G61" s="9">
        <f t="shared" si="13"/>
        <v>4.7870018059074508E-9</v>
      </c>
      <c r="H61" s="9">
        <f t="shared" si="12"/>
        <v>1.2E-2</v>
      </c>
      <c r="I61" s="9">
        <f t="shared" si="14"/>
        <v>13796875.351602258</v>
      </c>
      <c r="J61" s="9">
        <v>650000000</v>
      </c>
      <c r="K61" s="9">
        <f t="shared" si="10"/>
        <v>47.11211657968007</v>
      </c>
      <c r="L61" s="9">
        <f t="shared" si="15"/>
        <v>4.9988678810153099E-3</v>
      </c>
      <c r="M61" s="9">
        <f t="shared" si="16"/>
        <v>5.3491911920513727E-3</v>
      </c>
      <c r="N61" s="9">
        <f t="shared" si="17"/>
        <v>1.9153861900316656E-3</v>
      </c>
    </row>
    <row r="62" spans="1:14" x14ac:dyDescent="0.3">
      <c r="A62" s="9"/>
      <c r="B62" s="10">
        <v>3000000000</v>
      </c>
      <c r="C62" s="10">
        <v>230000000000</v>
      </c>
      <c r="D62" s="9"/>
      <c r="E62" s="11"/>
      <c r="F62" s="9" t="s">
        <v>21</v>
      </c>
      <c r="G62" s="9">
        <f t="shared" si="13"/>
        <v>4.7870018059074508E-9</v>
      </c>
      <c r="H62" s="9">
        <f t="shared" si="12"/>
        <v>1.2E-2</v>
      </c>
      <c r="I62" s="9">
        <f t="shared" si="14"/>
        <v>10107702.667730194</v>
      </c>
      <c r="J62" s="9">
        <v>650000000</v>
      </c>
      <c r="K62" s="9">
        <f t="shared" si="10"/>
        <v>64.307392230203519</v>
      </c>
      <c r="L62" s="9">
        <f t="shared" si="15"/>
        <v>3.6622111114964469E-3</v>
      </c>
      <c r="M62" s="9">
        <f t="shared" si="16"/>
        <v>5.5057410671415672E-3</v>
      </c>
      <c r="N62" s="9">
        <f t="shared" si="17"/>
        <v>2.1507421130242564E-3</v>
      </c>
    </row>
    <row r="63" spans="1:14" x14ac:dyDescent="0.3">
      <c r="A63" s="9"/>
      <c r="B63" s="10">
        <v>3000000000</v>
      </c>
      <c r="C63" s="10">
        <v>230000000000</v>
      </c>
      <c r="D63" s="9"/>
      <c r="E63" s="9"/>
      <c r="F63" s="9" t="s">
        <v>21</v>
      </c>
      <c r="G63" s="9">
        <f t="shared" si="13"/>
        <v>4.7870018059074508E-9</v>
      </c>
      <c r="H63" s="9">
        <f t="shared" si="12"/>
        <v>1.2E-2</v>
      </c>
      <c r="I63" s="9">
        <f t="shared" si="14"/>
        <v>7136484.9977373248</v>
      </c>
      <c r="J63" s="9">
        <v>650000000</v>
      </c>
      <c r="K63" s="9">
        <f t="shared" si="10"/>
        <v>91.081253615202343</v>
      </c>
      <c r="L63" s="9">
        <f t="shared" si="15"/>
        <v>2.5856829701946826E-3</v>
      </c>
      <c r="M63" s="9">
        <f t="shared" si="16"/>
        <v>5.6119126902270389E-3</v>
      </c>
      <c r="N63" s="9">
        <f t="shared" si="17"/>
        <v>2.3811748017194597E-3</v>
      </c>
    </row>
    <row r="64" spans="1:14" x14ac:dyDescent="0.3">
      <c r="A64" s="9"/>
      <c r="B64" s="10">
        <v>3000000000</v>
      </c>
      <c r="C64" s="10">
        <v>230000000000</v>
      </c>
      <c r="D64" s="9"/>
      <c r="E64" s="9"/>
      <c r="F64" s="9" t="s">
        <v>21</v>
      </c>
      <c r="G64" s="9">
        <f t="shared" si="13"/>
        <v>4.7870018059074508E-9</v>
      </c>
      <c r="H64" s="9">
        <f t="shared" si="12"/>
        <v>1.2E-2</v>
      </c>
      <c r="I64" s="9">
        <f t="shared" si="14"/>
        <v>4827175.9378665155</v>
      </c>
      <c r="J64" s="9">
        <v>650000000</v>
      </c>
      <c r="K64" s="9">
        <f t="shared" si="10"/>
        <v>134.65430064421537</v>
      </c>
      <c r="L64" s="9">
        <f t="shared" si="15"/>
        <v>1.7489767890820705E-3</v>
      </c>
      <c r="M64" s="9">
        <f t="shared" si="16"/>
        <v>5.6799924008803853E-3</v>
      </c>
      <c r="N64" s="9">
        <f t="shared" si="17"/>
        <v>2.6022710687362994E-3</v>
      </c>
    </row>
    <row r="65" spans="1:14" x14ac:dyDescent="0.3">
      <c r="A65" s="9"/>
      <c r="B65" s="10">
        <v>3000000000</v>
      </c>
      <c r="C65" s="10">
        <v>230000000000</v>
      </c>
      <c r="D65" s="9"/>
      <c r="E65" s="9"/>
      <c r="F65" s="9" t="s">
        <v>21</v>
      </c>
      <c r="G65" s="9">
        <f t="shared" si="13"/>
        <v>4.7870018059074508E-9</v>
      </c>
      <c r="H65" s="9">
        <f t="shared" si="12"/>
        <v>1.2E-2</v>
      </c>
      <c r="I65" s="9">
        <f t="shared" si="14"/>
        <v>3103955.3755052979</v>
      </c>
      <c r="J65" s="9">
        <v>650000000</v>
      </c>
      <c r="K65" s="9">
        <f t="shared" si="10"/>
        <v>209.41022707009293</v>
      </c>
      <c r="L65" s="9">
        <f t="shared" si="15"/>
        <v>1.1246215128642382E-3</v>
      </c>
      <c r="M65" s="9">
        <f t="shared" si="16"/>
        <v>5.720887103372237E-3</v>
      </c>
      <c r="N65" s="9">
        <f t="shared" si="17"/>
        <v>2.8103001464355472E-3</v>
      </c>
    </row>
    <row r="66" spans="1:14" x14ac:dyDescent="0.3">
      <c r="A66" s="9"/>
      <c r="B66" s="10">
        <v>3000000000</v>
      </c>
      <c r="C66" s="10">
        <v>230000000000</v>
      </c>
      <c r="D66" s="9"/>
      <c r="E66" s="9"/>
      <c r="F66" s="9" t="s">
        <v>21</v>
      </c>
      <c r="G66" s="9">
        <f t="shared" si="13"/>
        <v>4.7870018059074508E-9</v>
      </c>
      <c r="H66" s="9">
        <f t="shared" si="12"/>
        <v>1.2E-2</v>
      </c>
      <c r="I66" s="9">
        <f t="shared" si="14"/>
        <v>1877821.2691933524</v>
      </c>
      <c r="J66" s="9">
        <v>650000000</v>
      </c>
      <c r="K66" s="9">
        <f t="shared" si="10"/>
        <v>346.14582903260953</v>
      </c>
      <c r="L66" s="9">
        <f t="shared" si="15"/>
        <v>6.8037002507005521E-4</v>
      </c>
      <c r="M66" s="9">
        <f t="shared" si="16"/>
        <v>5.7436130326396686E-3</v>
      </c>
      <c r="N66" s="9">
        <f t="shared" si="17"/>
        <v>3.0021500791333139E-3</v>
      </c>
    </row>
    <row r="67" spans="1:14" x14ac:dyDescent="0.3">
      <c r="A67" s="9"/>
      <c r="B67" s="10">
        <v>3000000000</v>
      </c>
      <c r="C67" s="10">
        <v>230000000000</v>
      </c>
      <c r="D67" s="9"/>
      <c r="E67" s="9"/>
      <c r="F67" s="9" t="s">
        <v>21</v>
      </c>
      <c r="G67" s="9">
        <f t="shared" si="13"/>
        <v>4.7870018059074508E-9</v>
      </c>
      <c r="H67" s="9">
        <f t="shared" si="12"/>
        <v>1.2E-2</v>
      </c>
      <c r="I67" s="9">
        <f t="shared" si="14"/>
        <v>1053637.0812677972</v>
      </c>
      <c r="J67" s="9">
        <v>650000000</v>
      </c>
      <c r="K67" s="9">
        <f t="shared" si="10"/>
        <v>616.91071010701557</v>
      </c>
      <c r="L67" s="9">
        <f t="shared" si="15"/>
        <v>3.8175256567673805E-4</v>
      </c>
      <c r="M67" s="9">
        <f t="shared" si="16"/>
        <v>5.7550944599874931E-3</v>
      </c>
      <c r="N67" s="9">
        <f t="shared" si="17"/>
        <v>3.1752378455641105E-3</v>
      </c>
    </row>
    <row r="68" spans="1:14" x14ac:dyDescent="0.3">
      <c r="A68" s="9"/>
      <c r="B68" s="10">
        <v>3000000000</v>
      </c>
      <c r="C68" s="10">
        <v>230000000000</v>
      </c>
      <c r="D68" s="9"/>
      <c r="E68" s="9"/>
      <c r="F68" s="9" t="s">
        <v>21</v>
      </c>
      <c r="G68" s="9">
        <f t="shared" si="13"/>
        <v>4.7870018059074508E-9</v>
      </c>
      <c r="H68" s="9">
        <f t="shared" si="12"/>
        <v>1.2E-2</v>
      </c>
      <c r="I68" s="9">
        <f t="shared" si="14"/>
        <v>537098.71578220755</v>
      </c>
      <c r="J68" s="9">
        <v>650000000</v>
      </c>
      <c r="K68" s="9">
        <f t="shared" si="10"/>
        <v>1210.2058353525717</v>
      </c>
      <c r="L68" s="9">
        <f t="shared" si="15"/>
        <v>1.9460098397906068E-4</v>
      </c>
      <c r="M68" s="9">
        <f t="shared" si="16"/>
        <v>5.760235686492335E-3</v>
      </c>
      <c r="N68" s="9">
        <f t="shared" si="17"/>
        <v>3.3274193802099849E-3</v>
      </c>
    </row>
    <row r="69" spans="1:14" x14ac:dyDescent="0.3">
      <c r="A69" s="9"/>
      <c r="B69" s="10">
        <v>3000000000</v>
      </c>
      <c r="C69" s="10">
        <v>230000000000</v>
      </c>
      <c r="D69" s="9"/>
      <c r="E69" s="9"/>
      <c r="F69" s="9" t="s">
        <v>21</v>
      </c>
      <c r="G69" s="9">
        <f t="shared" si="13"/>
        <v>4.7870018059074508E-9</v>
      </c>
      <c r="H69" s="9">
        <f t="shared" si="12"/>
        <v>1.2E-2</v>
      </c>
      <c r="I69" s="9">
        <f t="shared" si="14"/>
        <v>241024.77181774989</v>
      </c>
      <c r="J69" s="9">
        <v>650000000</v>
      </c>
      <c r="K69" s="9">
        <f t="shared" si="10"/>
        <v>2696.8182361417003</v>
      </c>
      <c r="L69" s="9">
        <f t="shared" si="15"/>
        <v>8.7327815875996333E-5</v>
      </c>
      <c r="M69" s="9">
        <f t="shared" si="16"/>
        <v>5.7621982586068309E-3</v>
      </c>
      <c r="N69" s="9">
        <f t="shared" si="17"/>
        <v>3.4569168319336968E-3</v>
      </c>
    </row>
    <row r="70" spans="1:14" x14ac:dyDescent="0.3">
      <c r="A70" s="9"/>
      <c r="B70" s="10">
        <v>3000000000</v>
      </c>
      <c r="C70" s="10">
        <v>230000000000</v>
      </c>
      <c r="D70" s="9"/>
      <c r="E70" s="9"/>
      <c r="F70" s="9" t="s">
        <v>21</v>
      </c>
      <c r="G70" s="9">
        <f t="shared" si="13"/>
        <v>4.7870018059074508E-9</v>
      </c>
      <c r="H70" s="9">
        <f t="shared" si="12"/>
        <v>1.2E-2</v>
      </c>
      <c r="I70" s="9">
        <f t="shared" si="14"/>
        <v>90406.134007706074</v>
      </c>
      <c r="J70" s="9">
        <v>650000000</v>
      </c>
      <c r="K70" s="9">
        <f t="shared" si="10"/>
        <v>7189.7776310686513</v>
      </c>
      <c r="L70" s="9">
        <f t="shared" si="15"/>
        <v>3.2755845654965962E-5</v>
      </c>
      <c r="M70" s="9">
        <f t="shared" si="16"/>
        <v>5.7627970907965778E-3</v>
      </c>
      <c r="N70" s="9">
        <f t="shared" si="17"/>
        <v>3.5622704972703046E-3</v>
      </c>
    </row>
    <row r="71" spans="1:14" x14ac:dyDescent="0.3">
      <c r="A71" s="9"/>
      <c r="B71" s="10">
        <v>3000000000</v>
      </c>
      <c r="C71" s="10">
        <v>230000000000</v>
      </c>
      <c r="D71" s="9"/>
      <c r="E71" s="9"/>
      <c r="F71" s="9" t="s">
        <v>21</v>
      </c>
      <c r="G71" s="9">
        <f t="shared" si="13"/>
        <v>4.7870018059074508E-9</v>
      </c>
      <c r="H71" s="9">
        <f t="shared" si="12"/>
        <v>1.2E-2</v>
      </c>
      <c r="I71" s="9">
        <f t="shared" si="14"/>
        <v>25761.186061767734</v>
      </c>
      <c r="J71" s="9">
        <v>650000000</v>
      </c>
      <c r="K71" s="9">
        <f t="shared" si="10"/>
        <v>25231.757514638164</v>
      </c>
      <c r="L71" s="9">
        <f t="shared" si="15"/>
        <v>9.3337630658578746E-6</v>
      </c>
      <c r="M71" s="9">
        <f t="shared" si="16"/>
        <v>5.7629267317327974E-3</v>
      </c>
      <c r="N71" s="9">
        <f t="shared" si="17"/>
        <v>3.6423144422039794E-3</v>
      </c>
    </row>
    <row r="72" spans="1:14" x14ac:dyDescent="0.3">
      <c r="A72" s="9"/>
      <c r="B72" s="10">
        <v>3000000000</v>
      </c>
      <c r="C72" s="10">
        <v>230000000000</v>
      </c>
      <c r="D72" s="9"/>
      <c r="E72" s="9"/>
      <c r="F72" s="9" t="s">
        <v>21</v>
      </c>
      <c r="G72" s="9">
        <f t="shared" si="13"/>
        <v>4.7870018059074508E-9</v>
      </c>
      <c r="H72" s="9">
        <f t="shared" si="12"/>
        <v>1.2E-2</v>
      </c>
      <c r="I72" s="9">
        <f t="shared" si="14"/>
        <v>4504.4853831870241</v>
      </c>
      <c r="J72" s="9">
        <v>650000000</v>
      </c>
      <c r="K72" s="9">
        <f t="shared" si="10"/>
        <v>144300.61254635718</v>
      </c>
      <c r="L72" s="9">
        <f t="shared" si="15"/>
        <v>1.6320599214445737E-6</v>
      </c>
      <c r="M72" s="9">
        <f t="shared" si="16"/>
        <v>5.7629419834249749E-3</v>
      </c>
      <c r="N72" s="9">
        <f t="shared" si="17"/>
        <v>3.6961694606453075E-3</v>
      </c>
    </row>
    <row r="73" spans="1:14" x14ac:dyDescent="0.3">
      <c r="A73" s="9"/>
      <c r="B73" s="10">
        <v>3000000000</v>
      </c>
      <c r="C73" s="10">
        <v>230000000000</v>
      </c>
      <c r="D73" s="9"/>
      <c r="E73" s="9"/>
      <c r="F73" s="9" t="s">
        <v>21</v>
      </c>
      <c r="G73" s="9">
        <f t="shared" si="13"/>
        <v>4.7870018059074508E-9</v>
      </c>
      <c r="H73" s="9">
        <f t="shared" si="12"/>
        <v>1.2E-2</v>
      </c>
      <c r="I73" s="9">
        <f t="shared" si="14"/>
        <v>227.91468318512125</v>
      </c>
      <c r="J73" s="9">
        <v>650000000</v>
      </c>
      <c r="K73" s="9">
        <f t="shared" si="10"/>
        <v>2851944.3807490212</v>
      </c>
      <c r="L73" s="9">
        <f t="shared" si="15"/>
        <v>8.2577783762725092E-8</v>
      </c>
      <c r="M73" s="9">
        <f t="shared" si="16"/>
        <v>5.7629423713973522E-3</v>
      </c>
      <c r="N73" s="9">
        <f t="shared" si="17"/>
        <v>3.7232452956962145E-3</v>
      </c>
    </row>
    <row r="74" spans="1:14" x14ac:dyDescent="0.3">
      <c r="A74" s="9"/>
      <c r="B74" s="10">
        <v>3000000000</v>
      </c>
      <c r="C74" s="10">
        <v>230000000000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</row>
    <row r="75" spans="1:14" x14ac:dyDescent="0.3">
      <c r="A75" s="9"/>
      <c r="B75" s="10">
        <v>3000000000</v>
      </c>
      <c r="C75" s="10">
        <v>230000000000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</row>
    <row r="76" spans="1:14" x14ac:dyDescent="0.3">
      <c r="A76" s="9"/>
      <c r="B76" s="10">
        <v>3000000000</v>
      </c>
      <c r="C76" s="10">
        <v>230000000000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 x14ac:dyDescent="0.3">
      <c r="A77" s="9"/>
      <c r="B77" s="10">
        <v>3000000000</v>
      </c>
      <c r="C77" s="10">
        <v>230000000000</v>
      </c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9"/>
      <c r="B78" s="10">
        <v>3000000000</v>
      </c>
      <c r="C78" s="10">
        <v>230000000000</v>
      </c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</row>
    <row r="79" spans="1:14" x14ac:dyDescent="0.3">
      <c r="A79" s="9"/>
      <c r="B79" s="10">
        <v>3000000000</v>
      </c>
      <c r="C79" s="10">
        <v>230000000000</v>
      </c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 x14ac:dyDescent="0.3">
      <c r="A80" s="9"/>
      <c r="B80" s="10">
        <v>3000000000</v>
      </c>
      <c r="C80" s="10">
        <v>230000000000</v>
      </c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9"/>
      <c r="B81" s="10">
        <v>3000000000</v>
      </c>
      <c r="C81" s="10">
        <v>230000000000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3">
      <c r="A82" s="9"/>
      <c r="B82" s="10">
        <v>3000000000</v>
      </c>
      <c r="C82" s="10">
        <v>230000000000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9"/>
      <c r="B83" s="10">
        <v>3000000000</v>
      </c>
      <c r="C83" s="10">
        <v>230000000000</v>
      </c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</row>
    <row r="84" spans="1:14" x14ac:dyDescent="0.3">
      <c r="A84" s="9"/>
      <c r="B84" s="10">
        <v>3000000000</v>
      </c>
      <c r="C84" s="10">
        <v>230000000000</v>
      </c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</row>
    <row r="85" spans="1:14" x14ac:dyDescent="0.3">
      <c r="A85" s="9"/>
      <c r="B85" s="10">
        <v>3000000000</v>
      </c>
      <c r="C85" s="10">
        <v>230000000000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</row>
    <row r="86" spans="1:14" x14ac:dyDescent="0.3">
      <c r="B86" s="2">
        <v>3000000000</v>
      </c>
      <c r="C86" s="2">
        <v>230000000000</v>
      </c>
    </row>
    <row r="87" spans="1:14" x14ac:dyDescent="0.3">
      <c r="B87" s="2">
        <v>3000000000</v>
      </c>
      <c r="C87" s="2">
        <v>230000000000</v>
      </c>
    </row>
    <row r="88" spans="1:14" x14ac:dyDescent="0.3">
      <c r="B88" s="2">
        <v>3000000000</v>
      </c>
      <c r="C88" s="2">
        <v>230000000000</v>
      </c>
    </row>
    <row r="89" spans="1:14" x14ac:dyDescent="0.3">
      <c r="B89" s="2">
        <v>3000000000</v>
      </c>
      <c r="C89" s="2">
        <v>230000000000</v>
      </c>
    </row>
    <row r="90" spans="1:14" x14ac:dyDescent="0.3">
      <c r="B90" s="2">
        <v>3000000000</v>
      </c>
      <c r="C90" s="2">
        <v>230000000000</v>
      </c>
    </row>
    <row r="91" spans="1:14" x14ac:dyDescent="0.3">
      <c r="B91" s="2">
        <v>3000000000</v>
      </c>
      <c r="C91" s="2">
        <v>230000000000</v>
      </c>
    </row>
    <row r="92" spans="1:14" x14ac:dyDescent="0.3">
      <c r="B92" s="2">
        <v>3000000000</v>
      </c>
      <c r="C92" s="2">
        <v>230000000000</v>
      </c>
    </row>
    <row r="93" spans="1:14" x14ac:dyDescent="0.3">
      <c r="B93" s="2">
        <v>3000000000</v>
      </c>
      <c r="C93" s="2">
        <v>230000000000</v>
      </c>
    </row>
    <row r="94" spans="1:14" x14ac:dyDescent="0.3">
      <c r="B94" s="2">
        <v>3000000000</v>
      </c>
      <c r="C94" s="2">
        <v>230000000000</v>
      </c>
    </row>
    <row r="95" spans="1:14" x14ac:dyDescent="0.3">
      <c r="B95" s="2">
        <v>3000000000</v>
      </c>
      <c r="C95" s="2">
        <v>230000000000</v>
      </c>
    </row>
    <row r="96" spans="1:14" x14ac:dyDescent="0.3">
      <c r="B96" s="2">
        <v>3000000000</v>
      </c>
      <c r="C96" s="2">
        <v>230000000000</v>
      </c>
    </row>
    <row r="97" spans="2:3" x14ac:dyDescent="0.3">
      <c r="B97" s="2">
        <v>3000000000</v>
      </c>
      <c r="C97" s="2">
        <v>230000000000</v>
      </c>
    </row>
    <row r="98" spans="2:3" x14ac:dyDescent="0.3">
      <c r="B98" s="2">
        <v>3000000000</v>
      </c>
      <c r="C98" s="2">
        <v>230000000000</v>
      </c>
    </row>
  </sheetData>
  <conditionalFormatting sqref="K2:K36 M2:M36">
    <cfRule type="cellIs" dxfId="1" priority="2" operator="lessThan">
      <formula>1</formula>
    </cfRule>
  </conditionalFormatting>
  <conditionalFormatting sqref="K39:K73">
    <cfRule type="cellIs" dxfId="0" priority="1" operator="lessThan">
      <formula>1</formula>
    </cfRule>
  </conditionalFormatting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sqref="A1:C7"/>
    </sheetView>
  </sheetViews>
  <sheetFormatPr defaultRowHeight="14.4" x14ac:dyDescent="0.3"/>
  <cols>
    <col min="1" max="1" width="19.77734375" customWidth="1"/>
    <col min="2" max="2" width="12.5546875" customWidth="1"/>
    <col min="3" max="3" width="12.109375" customWidth="1"/>
  </cols>
  <sheetData>
    <row r="1" spans="1:3" x14ac:dyDescent="0.3">
      <c r="A1" s="3" t="s">
        <v>30</v>
      </c>
      <c r="B1" s="3" t="s">
        <v>33</v>
      </c>
      <c r="C1" s="3" t="s">
        <v>34</v>
      </c>
    </row>
    <row r="2" spans="1:3" x14ac:dyDescent="0.3">
      <c r="A2" s="4" t="s">
        <v>31</v>
      </c>
      <c r="B2" s="4" t="s">
        <v>32</v>
      </c>
      <c r="C2" s="4">
        <v>0.04</v>
      </c>
    </row>
    <row r="3" spans="1:3" x14ac:dyDescent="0.3">
      <c r="A3" s="4" t="s">
        <v>35</v>
      </c>
      <c r="B3" s="4">
        <v>0.01</v>
      </c>
      <c r="C3" s="4">
        <v>0.01</v>
      </c>
    </row>
    <row r="4" spans="1:3" x14ac:dyDescent="0.3">
      <c r="A4" s="4" t="s">
        <v>36</v>
      </c>
      <c r="B4" s="4">
        <v>3.2000000000000001E-2</v>
      </c>
      <c r="C4" s="4" t="s">
        <v>32</v>
      </c>
    </row>
    <row r="5" spans="1:3" x14ac:dyDescent="0.3">
      <c r="A5" s="4" t="s">
        <v>37</v>
      </c>
      <c r="B5" s="4">
        <v>0.05</v>
      </c>
      <c r="C5" s="4" t="s">
        <v>32</v>
      </c>
    </row>
    <row r="6" spans="1:3" x14ac:dyDescent="0.3">
      <c r="A6" s="4" t="s">
        <v>38</v>
      </c>
      <c r="B6" s="4">
        <v>3</v>
      </c>
      <c r="C6" s="4">
        <v>3</v>
      </c>
    </row>
    <row r="7" spans="1:3" x14ac:dyDescent="0.3">
      <c r="A7" s="4" t="s">
        <v>40</v>
      </c>
      <c r="B7" s="4" t="s">
        <v>39</v>
      </c>
      <c r="C7" s="4" t="s">
        <v>39</v>
      </c>
    </row>
  </sheetData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Calculos</vt:lpstr>
      <vt:lpstr>Guia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Iasmim Dantas</cp:lastModifiedBy>
  <cp:lastPrinted>2026-05-16T01:32:38Z</cp:lastPrinted>
  <dcterms:created xsi:type="dcterms:W3CDTF">2026-05-12T13:57:07Z</dcterms:created>
  <dcterms:modified xsi:type="dcterms:W3CDTF">2026-05-17T02:27:01Z</dcterms:modified>
</cp:coreProperties>
</file>