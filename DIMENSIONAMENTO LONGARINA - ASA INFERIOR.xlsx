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asmim\Downloads\LONGARINA\"/>
    </mc:Choice>
  </mc:AlternateContent>
  <xr:revisionPtr revIDLastSave="0" documentId="8_{1B48C3A3-0C0C-456F-A125-E809202E8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os" sheetId="2" r:id="rId1"/>
    <sheet name="Guia" sheetId="3" r:id="rId2"/>
  </sheets>
  <calcPr calcId="191029"/>
</workbook>
</file>

<file path=xl/calcChain.xml><?xml version="1.0" encoding="utf-8"?>
<calcChain xmlns="http://schemas.openxmlformats.org/spreadsheetml/2006/main">
  <c r="H24" i="2" l="1"/>
  <c r="H25" i="2" s="1"/>
  <c r="H26" i="2" s="1"/>
  <c r="H27" i="2" s="1"/>
  <c r="H28" i="2" s="1"/>
  <c r="H29" i="2" s="1"/>
  <c r="H30" i="2" s="1"/>
  <c r="H31" i="2" s="1"/>
  <c r="H14" i="2"/>
  <c r="H15" i="2" s="1"/>
  <c r="H16" i="2" s="1"/>
  <c r="H17" i="2" s="1"/>
  <c r="H18" i="2" s="1"/>
  <c r="H19" i="2" s="1"/>
  <c r="H20" i="2" s="1"/>
  <c r="H21" i="2" s="1"/>
  <c r="H22" i="2" s="1"/>
  <c r="H23" i="2" s="1"/>
  <c r="H2" i="2"/>
  <c r="H3" i="2" s="1"/>
  <c r="H4" i="2" s="1"/>
  <c r="H5" i="2" s="1"/>
  <c r="H6" i="2" s="1"/>
  <c r="H7" i="2" s="1"/>
  <c r="H8" i="2" s="1"/>
  <c r="H9" i="2" s="1"/>
  <c r="H10" i="2" s="1"/>
  <c r="H11" i="2" s="1"/>
  <c r="H12" i="2" s="1"/>
  <c r="H13" i="2" s="1"/>
  <c r="G24" i="2"/>
  <c r="G14" i="2"/>
  <c r="G15" i="2" s="1"/>
  <c r="G2" i="2"/>
  <c r="L2" i="2" s="1"/>
  <c r="C21" i="2"/>
  <c r="C22" i="2"/>
  <c r="C23" i="2"/>
  <c r="C24" i="2"/>
  <c r="C25" i="2"/>
  <c r="C26" i="2"/>
  <c r="C27" i="2"/>
  <c r="C28" i="2"/>
  <c r="C29" i="2"/>
  <c r="C30" i="2"/>
  <c r="C3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G34" i="2"/>
  <c r="H47" i="2"/>
  <c r="H48" i="2" s="1"/>
  <c r="H41" i="2"/>
  <c r="H42" i="2" s="1"/>
  <c r="H43" i="2" s="1"/>
  <c r="H44" i="2" s="1"/>
  <c r="H45" i="2" s="1"/>
  <c r="H46" i="2" s="1"/>
  <c r="H34" i="2"/>
  <c r="H35" i="2" s="1"/>
  <c r="H36" i="2" s="1"/>
  <c r="H37" i="2" s="1"/>
  <c r="H38" i="2" s="1"/>
  <c r="H39" i="2" s="1"/>
  <c r="H40" i="2" s="1"/>
  <c r="G47" i="2"/>
  <c r="G41" i="2"/>
  <c r="L34" i="2" l="1"/>
  <c r="M35" i="2" s="1"/>
  <c r="I34" i="2"/>
  <c r="K34" i="2" s="1"/>
  <c r="H49" i="2"/>
  <c r="I2" i="2"/>
  <c r="K2" i="2" s="1"/>
  <c r="G3" i="2"/>
  <c r="G35" i="2"/>
  <c r="N35" i="2" l="1"/>
  <c r="I35" i="2"/>
  <c r="K35" i="2" s="1"/>
  <c r="L35" i="2"/>
  <c r="M36" i="2" s="1"/>
  <c r="H50" i="2"/>
  <c r="G4" i="2"/>
  <c r="L3" i="2"/>
  <c r="M3" i="2" s="1"/>
  <c r="I3" i="2"/>
  <c r="K3" i="2" s="1"/>
  <c r="G36" i="2"/>
  <c r="N36" i="2" l="1"/>
  <c r="N3" i="2"/>
  <c r="H51" i="2"/>
  <c r="G5" i="2"/>
  <c r="G6" i="2" s="1"/>
  <c r="G7" i="2" s="1"/>
  <c r="G8" i="2" s="1"/>
  <c r="G9" i="2" s="1"/>
  <c r="G10" i="2" s="1"/>
  <c r="G11" i="2" s="1"/>
  <c r="G12" i="2" s="1"/>
  <c r="G13" i="2" s="1"/>
  <c r="G37" i="2"/>
  <c r="I4" i="2" l="1"/>
  <c r="K4" i="2" s="1"/>
  <c r="L4" i="2"/>
  <c r="M4" i="2" s="1"/>
  <c r="L36" i="2"/>
  <c r="M37" i="2" s="1"/>
  <c r="N37" i="2" s="1"/>
  <c r="I36" i="2"/>
  <c r="K36" i="2" s="1"/>
  <c r="L37" i="2"/>
  <c r="I37" i="2"/>
  <c r="K37" i="2" s="1"/>
  <c r="H52" i="2"/>
  <c r="H53" i="2" s="1"/>
  <c r="L5" i="2"/>
  <c r="I5" i="2"/>
  <c r="K5" i="2" s="1"/>
  <c r="G38" i="2"/>
  <c r="M38" i="2" l="1"/>
  <c r="N38" i="2" s="1"/>
  <c r="M5" i="2"/>
  <c r="N4" i="2"/>
  <c r="H54" i="2"/>
  <c r="I38" i="2"/>
  <c r="K38" i="2" s="1"/>
  <c r="L38" i="2"/>
  <c r="L6" i="2"/>
  <c r="I6" i="2"/>
  <c r="K6" i="2" s="1"/>
  <c r="G39" i="2"/>
  <c r="M6" i="2" l="1"/>
  <c r="M39" i="2"/>
  <c r="N5" i="2"/>
  <c r="N6" i="2"/>
  <c r="H55" i="2"/>
  <c r="L39" i="2"/>
  <c r="I39" i="2"/>
  <c r="K39" i="2" s="1"/>
  <c r="G16" i="2"/>
  <c r="G40" i="2"/>
  <c r="G42" i="2"/>
  <c r="M40" i="2" l="1"/>
  <c r="N39" i="2"/>
  <c r="H56" i="2"/>
  <c r="L9" i="2"/>
  <c r="I41" i="2"/>
  <c r="K41" i="2" s="1"/>
  <c r="I9" i="2"/>
  <c r="K9" i="2" s="1"/>
  <c r="L41" i="2"/>
  <c r="I42" i="2"/>
  <c r="K42" i="2" s="1"/>
  <c r="L42" i="2"/>
  <c r="I40" i="2"/>
  <c r="K40" i="2" s="1"/>
  <c r="L40" i="2"/>
  <c r="G17" i="2"/>
  <c r="G43" i="2"/>
  <c r="M41" i="2" l="1"/>
  <c r="M42" i="2" s="1"/>
  <c r="M43" i="2" s="1"/>
  <c r="N40" i="2"/>
  <c r="H57" i="2"/>
  <c r="I10" i="2"/>
  <c r="K10" i="2" s="1"/>
  <c r="L10" i="2"/>
  <c r="I43" i="2"/>
  <c r="K43" i="2" s="1"/>
  <c r="G18" i="2"/>
  <c r="G44" i="2"/>
  <c r="N41" i="2" l="1"/>
  <c r="N42" i="2" s="1"/>
  <c r="N43" i="2" s="1"/>
  <c r="H58" i="2"/>
  <c r="L43" i="2"/>
  <c r="M44" i="2" s="1"/>
  <c r="I11" i="2"/>
  <c r="K11" i="2" s="1"/>
  <c r="L11" i="2"/>
  <c r="I44" i="2"/>
  <c r="K44" i="2" s="1"/>
  <c r="L44" i="2"/>
  <c r="G19" i="2"/>
  <c r="G45" i="2"/>
  <c r="M45" i="2" l="1"/>
  <c r="N44" i="2"/>
  <c r="N45" i="2" s="1"/>
  <c r="H59" i="2"/>
  <c r="L45" i="2"/>
  <c r="M46" i="2" s="1"/>
  <c r="L12" i="2"/>
  <c r="I12" i="2"/>
  <c r="K12" i="2" s="1"/>
  <c r="G20" i="2"/>
  <c r="G21" i="2" s="1"/>
  <c r="G46" i="2"/>
  <c r="N46" i="2" l="1"/>
  <c r="H60" i="2"/>
  <c r="G22" i="2"/>
  <c r="L21" i="2"/>
  <c r="I21" i="2"/>
  <c r="K21" i="2" s="1"/>
  <c r="I45" i="2"/>
  <c r="K45" i="2" s="1"/>
  <c r="I13" i="2"/>
  <c r="K13" i="2" s="1"/>
  <c r="L13" i="2"/>
  <c r="L46" i="2"/>
  <c r="M47" i="2" s="1"/>
  <c r="I46" i="2"/>
  <c r="K46" i="2" s="1"/>
  <c r="N47" i="2" l="1"/>
  <c r="H61" i="2"/>
  <c r="L22" i="2"/>
  <c r="I22" i="2"/>
  <c r="K22" i="2" s="1"/>
  <c r="G23" i="2"/>
  <c r="L14" i="2"/>
  <c r="I14" i="2"/>
  <c r="K14" i="2" s="1"/>
  <c r="G48" i="2"/>
  <c r="H62" i="2" l="1"/>
  <c r="L23" i="2"/>
  <c r="I23" i="2"/>
  <c r="K23" i="2" s="1"/>
  <c r="I47" i="2"/>
  <c r="K47" i="2" s="1"/>
  <c r="I15" i="2"/>
  <c r="K15" i="2" s="1"/>
  <c r="L47" i="2"/>
  <c r="M48" i="2" s="1"/>
  <c r="L15" i="2"/>
  <c r="L48" i="2"/>
  <c r="I48" i="2"/>
  <c r="K48" i="2" s="1"/>
  <c r="G49" i="2"/>
  <c r="M49" i="2" l="1"/>
  <c r="N48" i="2"/>
  <c r="N49" i="2" s="1"/>
  <c r="H63" i="2"/>
  <c r="L24" i="2"/>
  <c r="I24" i="2"/>
  <c r="K24" i="2" s="1"/>
  <c r="G25" i="2"/>
  <c r="I16" i="2"/>
  <c r="K16" i="2" s="1"/>
  <c r="L16" i="2"/>
  <c r="L49" i="2"/>
  <c r="M50" i="2" s="1"/>
  <c r="I49" i="2"/>
  <c r="K49" i="2" s="1"/>
  <c r="G50" i="2"/>
  <c r="N50" i="2" l="1"/>
  <c r="G26" i="2"/>
  <c r="L25" i="2"/>
  <c r="I25" i="2"/>
  <c r="K25" i="2" s="1"/>
  <c r="L17" i="2"/>
  <c r="I17" i="2"/>
  <c r="K17" i="2" s="1"/>
  <c r="L50" i="2"/>
  <c r="M51" i="2" s="1"/>
  <c r="G51" i="2"/>
  <c r="N51" i="2" l="1"/>
  <c r="I26" i="2"/>
  <c r="K26" i="2" s="1"/>
  <c r="L26" i="2"/>
  <c r="G27" i="2"/>
  <c r="I50" i="2"/>
  <c r="K50" i="2" s="1"/>
  <c r="L18" i="2"/>
  <c r="I18" i="2"/>
  <c r="K18" i="2" s="1"/>
  <c r="L51" i="2"/>
  <c r="M52" i="2" s="1"/>
  <c r="I51" i="2"/>
  <c r="K51" i="2" s="1"/>
  <c r="G52" i="2"/>
  <c r="G53" i="2" s="1"/>
  <c r="N52" i="2" l="1"/>
  <c r="L53" i="2"/>
  <c r="G54" i="2"/>
  <c r="I53" i="2"/>
  <c r="K53" i="2" s="1"/>
  <c r="I27" i="2"/>
  <c r="K27" i="2" s="1"/>
  <c r="L27" i="2"/>
  <c r="G28" i="2"/>
  <c r="I19" i="2"/>
  <c r="K19" i="2" s="1"/>
  <c r="L19" i="2"/>
  <c r="L52" i="2"/>
  <c r="M53" i="2" s="1"/>
  <c r="I52" i="2"/>
  <c r="K52" i="2" s="1"/>
  <c r="N53" i="2" l="1"/>
  <c r="M54" i="2"/>
  <c r="N54" i="2"/>
  <c r="L54" i="2"/>
  <c r="G55" i="2"/>
  <c r="I54" i="2"/>
  <c r="K54" i="2" s="1"/>
  <c r="L28" i="2"/>
  <c r="G29" i="2"/>
  <c r="I28" i="2"/>
  <c r="K28" i="2" s="1"/>
  <c r="I20" i="2"/>
  <c r="K20" i="2" s="1"/>
  <c r="L20" i="2"/>
  <c r="L7" i="2"/>
  <c r="M7" i="2" s="1"/>
  <c r="I8" i="2"/>
  <c r="K8" i="2" s="1"/>
  <c r="I7" i="2"/>
  <c r="K7" i="2" s="1"/>
  <c r="M55" i="2" l="1"/>
  <c r="N55" i="2" s="1"/>
  <c r="N7" i="2"/>
  <c r="G56" i="2"/>
  <c r="L55" i="2"/>
  <c r="I55" i="2"/>
  <c r="K55" i="2" s="1"/>
  <c r="L29" i="2"/>
  <c r="G30" i="2"/>
  <c r="I29" i="2"/>
  <c r="K29" i="2" s="1"/>
  <c r="L8" i="2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56" i="2" l="1"/>
  <c r="N56" i="2" s="1"/>
  <c r="M29" i="2"/>
  <c r="N8" i="2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L56" i="2"/>
  <c r="G57" i="2"/>
  <c r="I56" i="2"/>
  <c r="K56" i="2" s="1"/>
  <c r="I30" i="2"/>
  <c r="K30" i="2" s="1"/>
  <c r="G31" i="2"/>
  <c r="L30" i="2"/>
  <c r="M57" i="2" l="1"/>
  <c r="N57" i="2" s="1"/>
  <c r="M30" i="2"/>
  <c r="G58" i="2"/>
  <c r="L57" i="2"/>
  <c r="I57" i="2"/>
  <c r="K57" i="2" s="1"/>
  <c r="L31" i="2"/>
  <c r="I31" i="2"/>
  <c r="K31" i="2" s="1"/>
  <c r="M58" i="2" l="1"/>
  <c r="N58" i="2" s="1"/>
  <c r="M31" i="2"/>
  <c r="N30" i="2"/>
  <c r="N31" i="2" s="1"/>
  <c r="G59" i="2"/>
  <c r="L58" i="2"/>
  <c r="M59" i="2" s="1"/>
  <c r="I58" i="2"/>
  <c r="K58" i="2" s="1"/>
  <c r="N59" i="2" l="1"/>
  <c r="G60" i="2"/>
  <c r="L59" i="2"/>
  <c r="M60" i="2" s="1"/>
  <c r="I59" i="2"/>
  <c r="K59" i="2" s="1"/>
  <c r="N60" i="2" l="1"/>
  <c r="G61" i="2"/>
  <c r="L60" i="2"/>
  <c r="M61" i="2" s="1"/>
  <c r="I60" i="2"/>
  <c r="K60" i="2" s="1"/>
  <c r="N61" i="2" l="1"/>
  <c r="G62" i="2"/>
  <c r="L61" i="2"/>
  <c r="M62" i="2" s="1"/>
  <c r="I61" i="2"/>
  <c r="K61" i="2" s="1"/>
  <c r="N62" i="2" l="1"/>
  <c r="G63" i="2"/>
  <c r="L62" i="2"/>
  <c r="M63" i="2" s="1"/>
  <c r="I62" i="2"/>
  <c r="K62" i="2" s="1"/>
  <c r="N63" i="2" l="1"/>
  <c r="L63" i="2"/>
  <c r="I63" i="2"/>
  <c r="K6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Iasmim</author>
  </authors>
  <commentList>
    <comment ref="A6" authorId="0" shapeId="0" xr:uid="{C6005BB8-69BF-43A2-90B1-2FE4EDF1A812}">
      <text>
        <r>
          <rPr>
            <b/>
            <sz val="9"/>
            <color indexed="81"/>
            <rFont val="Segoe UI"/>
            <charset val="1"/>
          </rPr>
          <t>Iasmim:</t>
        </r>
        <r>
          <rPr>
            <sz val="9"/>
            <color indexed="81"/>
            <rFont val="Segoe UI"/>
            <charset val="1"/>
          </rPr>
          <t xml:space="preserve">
No máximo 3
</t>
        </r>
      </text>
    </comment>
  </commentList>
</comments>
</file>

<file path=xl/sharedStrings.xml><?xml version="1.0" encoding="utf-8"?>
<sst xmlns="http://schemas.openxmlformats.org/spreadsheetml/2006/main" count="114" uniqueCount="41">
  <si>
    <t>SEÇÕES BALSA</t>
  </si>
  <si>
    <t>SEÇÕES TUBO CARBONO</t>
  </si>
  <si>
    <t>Seção</t>
  </si>
  <si>
    <t>Início y (m)</t>
  </si>
  <si>
    <t>Fim y (m)</t>
  </si>
  <si>
    <t>Posição y (m)</t>
  </si>
  <si>
    <t>Força Sust (N)</t>
  </si>
  <si>
    <t>dy (m)</t>
  </si>
  <si>
    <t>Cortante V (N)</t>
  </si>
  <si>
    <t>Momento M (N.m)</t>
  </si>
  <si>
    <t>Tipo</t>
  </si>
  <si>
    <t>I (m^4)</t>
  </si>
  <si>
    <t>c (m)</t>
  </si>
  <si>
    <t>FS real</t>
  </si>
  <si>
    <t>M/EI</t>
  </si>
  <si>
    <t>Deflexão aprox (m)</t>
  </si>
  <si>
    <t>Balsa</t>
  </si>
  <si>
    <t>Base b (m)</t>
  </si>
  <si>
    <t>Altura h (m)</t>
  </si>
  <si>
    <t>D externo (m)</t>
  </si>
  <si>
    <t>Espessura (m)</t>
  </si>
  <si>
    <t>Fibra de carbono</t>
  </si>
  <si>
    <t>Espessura de Balsa</t>
  </si>
  <si>
    <t>(m)</t>
  </si>
  <si>
    <t>Ângulo</t>
  </si>
  <si>
    <t>Módulo de elasticidade</t>
  </si>
  <si>
    <t xml:space="preserve">Balsa </t>
  </si>
  <si>
    <t>Fibra de Carbono</t>
  </si>
  <si>
    <t>Sigma adm (Pa)</t>
  </si>
  <si>
    <t>Sigma (Pa)</t>
  </si>
  <si>
    <t>REQUISITOS</t>
  </si>
  <si>
    <t>De máx:</t>
  </si>
  <si>
    <t>x</t>
  </si>
  <si>
    <t>BALSA (m/kg)</t>
  </si>
  <si>
    <t>TUBO (m/kg)</t>
  </si>
  <si>
    <t>Espessura máxima</t>
  </si>
  <si>
    <t>Altura máxima (hmáx)</t>
  </si>
  <si>
    <t>Base máxima (bmáx)</t>
  </si>
  <si>
    <t xml:space="preserve">Variação de seções </t>
  </si>
  <si>
    <t>FS &gt;= 1,5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</si>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</sst>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0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164" fontId="0" fillId="0" borderId="1" xfId="0" applyNumberFormat="1" applyBorder="1"/>
    <xf numFmtId="164" fontId="0" fillId="2" borderId="1" xfId="0" applyNumberFormat="1" applyFill="1" applyBorder="1"/>
    <xf numFmtId="164" fontId="0" fillId="0" borderId="0" xfId="0" applyNumberFormat="1"/>
    <xf numFmtId="43" fontId="0" fillId="0" borderId="1" xfId="1" applyFont="1" applyBorder="1" applyAlignment="1">
      <alignment vertical="center"/>
    </xf>
    <xf numFmtId="43" fontId="0" fillId="2" borderId="1" xfId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3" fontId="0" fillId="0" borderId="0" xfId="1" applyFont="1" applyBorder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3" borderId="1" xfId="0" applyFont="1" applyFill="1" applyBorder="1"/>
    <xf numFmtId="0" fontId="0" fillId="0" borderId="1" xfId="0" applyBorder="1"/>
    <xf numFmtId="0" fontId="0" fillId="2" borderId="1" xfId="0" applyFill="1" applyBorder="1"/>
    <xf numFmtId="3" fontId="0" fillId="0" borderId="0" xfId="0" applyNumberFormat="1"/>
    <xf numFmtId="3" fontId="8" fillId="0" borderId="0" xfId="0" applyNumberFormat="1" applyFont="1"/>
  </cellXfs>
  <cellStyles count="2">
    <cellStyle name="Normal" xfId="0" builtinId="0"/>
    <cellStyle name="Vírgula" xfId="1" builtinId="3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Momento Fletor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Calculos!$A$1</c:f>
              <c:strCache>
                <c:ptCount val="1"/>
                <c:pt idx="0">
                  <c:v>Posição y (m)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Calculos!$A$2:$A$20</c:f>
              <c:numCache>
                <c:formatCode>0.000000000</c:formatCode>
                <c:ptCount val="19"/>
                <c:pt idx="0">
                  <c:v>2.6280990130000001E-2</c:v>
                </c:pt>
                <c:pt idx="1">
                  <c:v>7.8195845180000001E-2</c:v>
                </c:pt>
                <c:pt idx="2">
                  <c:v>0.128185259</c:v>
                </c:pt>
                <c:pt idx="3">
                  <c:v>0.1750183263</c:v>
                </c:pt>
                <c:pt idx="4">
                  <c:v>0.2175418616</c:v>
                </c:pt>
                <c:pt idx="5">
                  <c:v>0.25470879429999999</c:v>
                </c:pt>
                <c:pt idx="6">
                  <c:v>0.28560395109999998</c:v>
                </c:pt>
                <c:pt idx="7">
                  <c:v>0.3094665908</c:v>
                </c:pt>
                <c:pt idx="8">
                  <c:v>0.32570913600000001</c:v>
                </c:pt>
                <c:pt idx="9">
                  <c:v>0.33393164120000002</c:v>
                </c:pt>
                <c:pt idx="10">
                  <c:v>0.35420251019999999</c:v>
                </c:pt>
                <c:pt idx="11">
                  <c:v>0.39049530609999999</c:v>
                </c:pt>
                <c:pt idx="12">
                  <c:v>0.42645212030000001</c:v>
                </c:pt>
                <c:pt idx="13">
                  <c:v>0.46185126710000002</c:v>
                </c:pt>
                <c:pt idx="14">
                  <c:v>0.49647449900000001</c:v>
                </c:pt>
                <c:pt idx="15">
                  <c:v>0.53010835219999997</c:v>
                </c:pt>
                <c:pt idx="16">
                  <c:v>0.56254546299999997</c:v>
                </c:pt>
                <c:pt idx="17">
                  <c:v>0.59358584550000004</c:v>
                </c:pt>
                <c:pt idx="18">
                  <c:v>0.62303812569999995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74-444D-9E8D-63AFA1D4C912}"/>
            </c:ext>
          </c:extLst>
        </c:ser>
        <c:ser>
          <c:idx val="1"/>
          <c:order val="1"/>
          <c:tx>
            <c:strRef>
              <c:f>Calculos!$E$1</c:f>
              <c:strCache>
                <c:ptCount val="1"/>
                <c:pt idx="0">
                  <c:v>Momento M (N.m)</c:v>
                </c:pt>
              </c:strCache>
            </c:strRef>
          </c:tx>
          <c:marker>
            <c:symbol val="none"/>
          </c:marker>
          <c:val>
            <c:numRef>
              <c:f>Calculos!$E$2:$E$20</c:f>
              <c:numCache>
                <c:formatCode>General</c:formatCode>
                <c:ptCount val="19"/>
                <c:pt idx="0">
                  <c:v>20.711820450000001</c:v>
                </c:pt>
                <c:pt idx="1">
                  <c:v>17.762439149999999</c:v>
                </c:pt>
                <c:pt idx="2">
                  <c:v>15.112877770000001</c:v>
                </c:pt>
                <c:pt idx="3">
                  <c:v>12.80563585</c:v>
                </c:pt>
                <c:pt idx="4">
                  <c:v>10.85999382</c:v>
                </c:pt>
                <c:pt idx="5">
                  <c:v>9.2752767140000003</c:v>
                </c:pt>
                <c:pt idx="6">
                  <c:v>8.0357035309999993</c:v>
                </c:pt>
                <c:pt idx="7">
                  <c:v>7.1161549959999997</c:v>
                </c:pt>
                <c:pt idx="8">
                  <c:v>6.4881275369999996</c:v>
                </c:pt>
                <c:pt idx="9">
                  <c:v>6.1251794249999998</c:v>
                </c:pt>
                <c:pt idx="10">
                  <c:v>6.0073008699999999</c:v>
                </c:pt>
                <c:pt idx="11">
                  <c:v>4.9819807870000004</c:v>
                </c:pt>
                <c:pt idx="12">
                  <c:v>4.0679289460000003</c:v>
                </c:pt>
                <c:pt idx="13">
                  <c:v>3.2657604290000002</c:v>
                </c:pt>
                <c:pt idx="14">
                  <c:v>2.5733771029999999</c:v>
                </c:pt>
                <c:pt idx="15">
                  <c:v>1.9863305090000001</c:v>
                </c:pt>
                <c:pt idx="16">
                  <c:v>1.4981798369999999</c:v>
                </c:pt>
                <c:pt idx="17">
                  <c:v>1.1008768369999999</c:v>
                </c:pt>
                <c:pt idx="18">
                  <c:v>0.78517152099999998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7-417C-A1CB-CC6DC4E82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overlay val="0"/>
        </c:title>
        <c:numFmt formatCode="0.000000000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TENSÃO</a:t>
            </a:r>
            <a:r>
              <a:rPr lang="pt-BR" baseline="0"/>
              <a:t> EM BALSA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Calculos!$I$1</c:f>
              <c:strCache>
                <c:ptCount val="1"/>
                <c:pt idx="0">
                  <c:v>Sigma (Pa)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Calculos!$I$2:$I$20</c:f>
              <c:numCache>
                <c:formatCode>General</c:formatCode>
                <c:ptCount val="19"/>
                <c:pt idx="0">
                  <c:v>2773749.739411863</c:v>
                </c:pt>
                <c:pt idx="1">
                  <c:v>2378765.356843926</c:v>
                </c:pt>
                <c:pt idx="2">
                  <c:v>2023933.1872105352</c:v>
                </c:pt>
                <c:pt idx="3">
                  <c:v>1714944.8155794877</c:v>
                </c:pt>
                <c:pt idx="4">
                  <c:v>1454382.2983092461</c:v>
                </c:pt>
                <c:pt idx="5">
                  <c:v>1242155.2432118743</c:v>
                </c:pt>
                <c:pt idx="6">
                  <c:v>1076150.2413034984</c:v>
                </c:pt>
                <c:pt idx="7">
                  <c:v>953003.29169131175</c:v>
                </c:pt>
                <c:pt idx="8">
                  <c:v>868897.16471179051</c:v>
                </c:pt>
                <c:pt idx="9">
                  <c:v>820290.75498019077</c:v>
                </c:pt>
                <c:pt idx="10">
                  <c:v>804504.32944590144</c:v>
                </c:pt>
                <c:pt idx="11">
                  <c:v>667192.33797221142</c:v>
                </c:pt>
                <c:pt idx="12">
                  <c:v>1410842.4090173412</c:v>
                </c:pt>
                <c:pt idx="13">
                  <c:v>1132633.6747976879</c:v>
                </c:pt>
                <c:pt idx="14">
                  <c:v>892500.72936416173</c:v>
                </c:pt>
                <c:pt idx="15">
                  <c:v>688900.754566474</c:v>
                </c:pt>
                <c:pt idx="16">
                  <c:v>519599.94346820802</c:v>
                </c:pt>
                <c:pt idx="17">
                  <c:v>381806.99549132946</c:v>
                </c:pt>
                <c:pt idx="18">
                  <c:v>272313.82231213874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91-4E89-BC36-1DCDA080058F}"/>
            </c:ext>
          </c:extLst>
        </c:ser>
        <c:ser>
          <c:idx val="1"/>
          <c:order val="1"/>
          <c:tx>
            <c:strRef>
              <c:f>Calculos!$J$1</c:f>
              <c:strCache>
                <c:ptCount val="1"/>
                <c:pt idx="0">
                  <c:v>Sigma adm (Pa)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Calculos!$J$2:$J$20</c:f>
              <c:numCache>
                <c:formatCode>#,##0</c:formatCode>
                <c:ptCount val="19"/>
                <c:pt idx="0">
                  <c:v>15000000</c:v>
                </c:pt>
                <c:pt idx="1">
                  <c:v>15000000</c:v>
                </c:pt>
                <c:pt idx="2">
                  <c:v>15000000</c:v>
                </c:pt>
                <c:pt idx="3">
                  <c:v>15000000</c:v>
                </c:pt>
                <c:pt idx="4">
                  <c:v>15000000</c:v>
                </c:pt>
                <c:pt idx="5">
                  <c:v>15000000</c:v>
                </c:pt>
                <c:pt idx="6">
                  <c:v>15000000</c:v>
                </c:pt>
                <c:pt idx="7">
                  <c:v>15000000</c:v>
                </c:pt>
                <c:pt idx="8">
                  <c:v>15000000</c:v>
                </c:pt>
                <c:pt idx="9">
                  <c:v>15000000</c:v>
                </c:pt>
                <c:pt idx="10">
                  <c:v>15000000</c:v>
                </c:pt>
                <c:pt idx="11">
                  <c:v>15000000</c:v>
                </c:pt>
                <c:pt idx="12">
                  <c:v>15000000</c:v>
                </c:pt>
                <c:pt idx="13">
                  <c:v>15000000</c:v>
                </c:pt>
                <c:pt idx="14">
                  <c:v>15000000</c:v>
                </c:pt>
                <c:pt idx="15">
                  <c:v>15000000</c:v>
                </c:pt>
                <c:pt idx="16">
                  <c:v>15000000</c:v>
                </c:pt>
                <c:pt idx="17">
                  <c:v>15000000</c:v>
                </c:pt>
                <c:pt idx="18">
                  <c:v>15000000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91-4E89-BC36-1DCDA080058F}"/>
            </c:ext>
          </c:extLst>
        </c:ser>
        <c:ser>
          <c:idx val="2"/>
          <c:order val="2"/>
          <c:tx>
            <c:strRef>
              <c:f>Calculos!$K$1</c:f>
              <c:strCache>
                <c:ptCount val="1"/>
                <c:pt idx="0">
                  <c:v>FS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Calculos!$K$2:$K$20</c:f>
              <c:numCache>
                <c:formatCode>General</c:formatCode>
                <c:ptCount val="19"/>
                <c:pt idx="0">
                  <c:v>5.4078418780421593</c:v>
                </c:pt>
                <c:pt idx="1">
                  <c:v>6.3057921862043367</c:v>
                </c:pt>
                <c:pt idx="2">
                  <c:v>7.4113118430918137</c:v>
                </c:pt>
                <c:pt idx="3">
                  <c:v>8.7466371300883115</c:v>
                </c:pt>
                <c:pt idx="4">
                  <c:v>10.313656881988907</c:v>
                </c:pt>
                <c:pt idx="5">
                  <c:v>12.075785278830443</c:v>
                </c:pt>
                <c:pt idx="6">
                  <c:v>13.938574210447689</c:v>
                </c:pt>
                <c:pt idx="7">
                  <c:v>15.739714784593488</c:v>
                </c:pt>
                <c:pt idx="8">
                  <c:v>17.263262684227353</c:v>
                </c:pt>
                <c:pt idx="9">
                  <c:v>18.286199020202581</c:v>
                </c:pt>
                <c:pt idx="10">
                  <c:v>18.645020854432417</c:v>
                </c:pt>
                <c:pt idx="11">
                  <c:v>22.482272571638482</c:v>
                </c:pt>
                <c:pt idx="12">
                  <c:v>10.631945782270307</c:v>
                </c:pt>
                <c:pt idx="13">
                  <c:v>13.243469917737801</c:v>
                </c:pt>
                <c:pt idx="14">
                  <c:v>16.806708954385222</c:v>
                </c:pt>
                <c:pt idx="15">
                  <c:v>21.773818508065819</c:v>
                </c:pt>
                <c:pt idx="16">
                  <c:v>28.868363417975974</c:v>
                </c:pt>
                <c:pt idx="17">
                  <c:v>39.28686529354237</c:v>
                </c:pt>
                <c:pt idx="18">
                  <c:v>55.083505760520318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91-4E89-BC36-1DCDA0800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269616"/>
        <c:axId val="303272016"/>
      </c:lineChart>
      <c:catAx>
        <c:axId val="30326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3272016"/>
        <c:crosses val="autoZero"/>
        <c:auto val="1"/>
        <c:lblAlgn val="ctr"/>
        <c:lblOffset val="100"/>
        <c:noMultiLvlLbl val="0"/>
      </c:catAx>
      <c:valAx>
        <c:axId val="3032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326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TENSÃO</a:t>
            </a:r>
            <a:r>
              <a:rPr lang="pt-BR" baseline="0"/>
              <a:t> EM FIBRA DE CARBONO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Calculos!$I$33</c:f>
              <c:strCache>
                <c:ptCount val="1"/>
                <c:pt idx="0">
                  <c:v>Sigma (Pa)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Calculos!$I$34:$I$52</c:f>
              <c:numCache>
                <c:formatCode>General</c:formatCode>
                <c:ptCount val="19"/>
                <c:pt idx="0">
                  <c:v>51920148.660333551</c:v>
                </c:pt>
                <c:pt idx="1">
                  <c:v>44526674.198652036</c:v>
                </c:pt>
                <c:pt idx="2">
                  <c:v>37884784.797072254</c:v>
                </c:pt>
                <c:pt idx="3">
                  <c:v>32101017.804163937</c:v>
                </c:pt>
                <c:pt idx="4">
                  <c:v>27223705.175790261</c:v>
                </c:pt>
                <c:pt idx="5">
                  <c:v>23251154.915096324</c:v>
                </c:pt>
                <c:pt idx="6">
                  <c:v>20143807.39380575</c:v>
                </c:pt>
                <c:pt idx="7">
                  <c:v>9722293.55227351</c:v>
                </c:pt>
                <c:pt idx="8">
                  <c:v>8864264.5578631107</c:v>
                </c:pt>
                <c:pt idx="9">
                  <c:v>8368394.5141258789</c:v>
                </c:pt>
                <c:pt idx="10">
                  <c:v>8207345.4762856392</c:v>
                </c:pt>
                <c:pt idx="11">
                  <c:v>6806523.98805629</c:v>
                </c:pt>
                <c:pt idx="12">
                  <c:v>5557720.3398511503</c:v>
                </c:pt>
                <c:pt idx="13">
                  <c:v>2802045.4340335377</c:v>
                </c:pt>
                <c:pt idx="14">
                  <c:v>2207975.6670073862</c:v>
                </c:pt>
                <c:pt idx="15">
                  <c:v>1704285.5574464931</c:v>
                </c:pt>
                <c:pt idx="16">
                  <c:v>1285448.84503742</c:v>
                </c:pt>
                <c:pt idx="17">
                  <c:v>944560.07463281474</c:v>
                </c:pt>
                <c:pt idx="18">
                  <c:v>673682.69142292871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C-487D-AB55-CF00F68D0B36}"/>
            </c:ext>
          </c:extLst>
        </c:ser>
        <c:ser>
          <c:idx val="1"/>
          <c:order val="1"/>
          <c:tx>
            <c:strRef>
              <c:f>Calculos!$J$33</c:f>
              <c:strCache>
                <c:ptCount val="1"/>
                <c:pt idx="0">
                  <c:v>Sigma adm (Pa)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Calculos!$J$34:$J$52</c:f>
              <c:numCache>
                <c:formatCode>General</c:formatCode>
                <c:ptCount val="19"/>
                <c:pt idx="0">
                  <c:v>650000000</c:v>
                </c:pt>
                <c:pt idx="1">
                  <c:v>650000000</c:v>
                </c:pt>
                <c:pt idx="2">
                  <c:v>650000000</c:v>
                </c:pt>
                <c:pt idx="3">
                  <c:v>650000000</c:v>
                </c:pt>
                <c:pt idx="4">
                  <c:v>650000000</c:v>
                </c:pt>
                <c:pt idx="5">
                  <c:v>650000000</c:v>
                </c:pt>
                <c:pt idx="6">
                  <c:v>650000000</c:v>
                </c:pt>
                <c:pt idx="7">
                  <c:v>650000000</c:v>
                </c:pt>
                <c:pt idx="8">
                  <c:v>650000000</c:v>
                </c:pt>
                <c:pt idx="9">
                  <c:v>650000000</c:v>
                </c:pt>
                <c:pt idx="10">
                  <c:v>650000000</c:v>
                </c:pt>
                <c:pt idx="11">
                  <c:v>650000000</c:v>
                </c:pt>
                <c:pt idx="12">
                  <c:v>650000000</c:v>
                </c:pt>
                <c:pt idx="13">
                  <c:v>650000000</c:v>
                </c:pt>
                <c:pt idx="14">
                  <c:v>650000000</c:v>
                </c:pt>
                <c:pt idx="15">
                  <c:v>650000000</c:v>
                </c:pt>
                <c:pt idx="16">
                  <c:v>650000000</c:v>
                </c:pt>
                <c:pt idx="17">
                  <c:v>650000000</c:v>
                </c:pt>
                <c:pt idx="18">
                  <c:v>650000000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C-487D-AB55-CF00F68D0B36}"/>
            </c:ext>
          </c:extLst>
        </c:ser>
        <c:ser>
          <c:idx val="2"/>
          <c:order val="2"/>
          <c:tx>
            <c:strRef>
              <c:f>Calculos!$K$33</c:f>
              <c:strCache>
                <c:ptCount val="1"/>
                <c:pt idx="0">
                  <c:v>FS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Calculos!$K$34:$K$52</c:f>
              <c:numCache>
                <c:formatCode>General</c:formatCode>
                <c:ptCount val="19"/>
                <c:pt idx="0">
                  <c:v>12.51922455485173</c:v>
                </c:pt>
                <c:pt idx="1">
                  <c:v>14.597991242285003</c:v>
                </c:pt>
                <c:pt idx="2">
                  <c:v>17.157283682134896</c:v>
                </c:pt>
                <c:pt idx="3">
                  <c:v>20.248579156131498</c:v>
                </c:pt>
                <c:pt idx="4">
                  <c:v>23.876250341486866</c:v>
                </c:pt>
                <c:pt idx="5">
                  <c:v>27.955600587305589</c:v>
                </c:pt>
                <c:pt idx="6">
                  <c:v>32.267981285398704</c:v>
                </c:pt>
                <c:pt idx="7">
                  <c:v>66.85665234290326</c:v>
                </c:pt>
                <c:pt idx="8">
                  <c:v>73.328136334041687</c:v>
                </c:pt>
                <c:pt idx="9">
                  <c:v>77.673202297381863</c:v>
                </c:pt>
                <c:pt idx="10">
                  <c:v>79.197348506665705</c:v>
                </c:pt>
                <c:pt idx="11">
                  <c:v>95.49661488603931</c:v>
                </c:pt>
                <c:pt idx="12">
                  <c:v>116.95442740060732</c:v>
                </c:pt>
                <c:pt idx="13">
                  <c:v>231.9733977561979</c:v>
                </c:pt>
                <c:pt idx="14">
                  <c:v>294.38730223009543</c:v>
                </c:pt>
                <c:pt idx="15">
                  <c:v>381.39148522380594</c:v>
                </c:pt>
                <c:pt idx="16">
                  <c:v>505.65995100417877</c:v>
                </c:pt>
                <c:pt idx="17">
                  <c:v>688.15104243388532</c:v>
                </c:pt>
                <c:pt idx="18">
                  <c:v>964.84592564949685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7C-487D-AB55-CF00F68D0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938464"/>
        <c:axId val="503942784"/>
      </c:lineChart>
      <c:catAx>
        <c:axId val="5039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3942784"/>
        <c:crosses val="autoZero"/>
        <c:auto val="1"/>
        <c:lblAlgn val="ctr"/>
        <c:lblOffset val="100"/>
        <c:noMultiLvlLbl val="0"/>
      </c:catAx>
      <c:valAx>
        <c:axId val="50394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393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16</xdr:col>
      <xdr:colOff>489858</xdr:colOff>
      <xdr:row>17</xdr:row>
      <xdr:rowOff>32658</xdr:rowOff>
    </xdr:from>
    <xdr:to>
      <xdr:col>24</xdr:col>
      <xdr:colOff>185058</xdr:colOff>
      <xdr:row>43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8468CCA-AA64-777A-D75A-77F6F34E6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500744</xdr:colOff>
      <xdr:row>44</xdr:row>
      <xdr:rowOff>54428</xdr:rowOff>
    </xdr:from>
    <xdr:to>
      <xdr:col>24</xdr:col>
      <xdr:colOff>195944</xdr:colOff>
      <xdr:row>59</xdr:row>
      <xdr:rowOff>21771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D24EB9C-563D-468F-D630-0C19823FB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6"/>
  <sheetViews>
    <sheetView tabSelected="1" topLeftCell="A13" zoomScale="70" zoomScaleNormal="70" workbookViewId="0">
      <selection activeCell="C52" sqref="C52:C86"/>
    </sheetView>
  </sheetViews>
  <sheetFormatPr defaultRowHeight="14.4" x14ac:dyDescent="0.3"/>
  <cols>
    <col min="1" max="1" width="23.6640625" customWidth="1"/>
    <col min="2" max="5" width="20" customWidth="1"/>
    <col min="6" max="6" width="17.88671875" customWidth="1"/>
    <col min="7" max="13" width="20" customWidth="1"/>
    <col min="14" max="14" width="21.21875" customWidth="1"/>
  </cols>
  <sheetData>
    <row r="1" spans="1:15" ht="18" x14ac:dyDescent="0.35">
      <c r="A1" s="15" t="s">
        <v>5</v>
      </c>
      <c r="B1" s="15" t="s">
        <v>6</v>
      </c>
      <c r="C1" s="15" t="s">
        <v>7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I1" s="15" t="s">
        <v>29</v>
      </c>
      <c r="J1" s="15" t="s">
        <v>28</v>
      </c>
      <c r="K1" s="15" t="s">
        <v>13</v>
      </c>
      <c r="L1" s="15" t="s">
        <v>14</v>
      </c>
      <c r="M1" s="15" t="s">
        <v>24</v>
      </c>
      <c r="N1" s="15" t="s">
        <v>15</v>
      </c>
      <c r="O1" s="3"/>
    </row>
    <row r="2" spans="1:15" x14ac:dyDescent="0.3">
      <c r="A2" s="5">
        <v>2.6280990130000001E-2</v>
      </c>
      <c r="B2" s="8">
        <v>222.43</v>
      </c>
      <c r="C2" s="17">
        <v>0</v>
      </c>
      <c r="D2" s="10">
        <v>56.112446409999997</v>
      </c>
      <c r="E2" s="10">
        <v>20.711820450000001</v>
      </c>
      <c r="F2" s="16" t="s">
        <v>16</v>
      </c>
      <c r="G2" s="16">
        <f>( (D36*E36^3)/12 ) - ( ((D36-2*B47)*(E36-2*B47)^3)/12 )</f>
        <v>1.1947333333333334E-7</v>
      </c>
      <c r="H2" s="16">
        <f>E36/2</f>
        <v>1.6E-2</v>
      </c>
      <c r="I2" s="16">
        <f>(E2*H2/G2)</f>
        <v>2773749.739411863</v>
      </c>
      <c r="J2" s="18">
        <v>15000000</v>
      </c>
      <c r="K2" s="16">
        <f>J2/I2</f>
        <v>5.4078418780421593</v>
      </c>
      <c r="L2" s="16">
        <f>E2/ (B52*G2)</f>
        <v>5.7786452904413817E-2</v>
      </c>
      <c r="M2" s="16">
        <v>0</v>
      </c>
      <c r="N2" s="16">
        <v>0</v>
      </c>
    </row>
    <row r="3" spans="1:15" x14ac:dyDescent="0.3">
      <c r="A3" s="4">
        <v>7.8195845180000001E-2</v>
      </c>
      <c r="B3" s="7">
        <v>221.93</v>
      </c>
      <c r="C3" s="16">
        <f t="shared" ref="C3:C31" si="0">ABS(A2-A3)</f>
        <v>5.191485505E-2</v>
      </c>
      <c r="D3" s="9">
        <v>51.680879869999998</v>
      </c>
      <c r="E3" s="9">
        <v>17.762439149999999</v>
      </c>
      <c r="F3" s="16" t="s">
        <v>16</v>
      </c>
      <c r="G3" s="16">
        <f>G2</f>
        <v>1.1947333333333334E-7</v>
      </c>
      <c r="H3" s="16">
        <f>H2</f>
        <v>1.6E-2</v>
      </c>
      <c r="I3" s="16">
        <f t="shared" ref="I3:I31" si="1">(E3*H3/G3)</f>
        <v>2378765.356843926</v>
      </c>
      <c r="J3" s="18">
        <v>15000000</v>
      </c>
      <c r="K3" s="16">
        <f t="shared" ref="K3:K31" si="2">J3/I3</f>
        <v>6.3057921862043367</v>
      </c>
      <c r="L3" s="16">
        <f t="shared" ref="L3:L31" si="3">E3/ (B52*G3)</f>
        <v>4.9557611600915125E-2</v>
      </c>
      <c r="M3" s="16">
        <f>M2 + (L3 * C3)</f>
        <v>2.572776222885707E-3</v>
      </c>
      <c r="N3" s="16">
        <f>N2 + (M3 * C3)</f>
        <v>1.3356530468719798E-4</v>
      </c>
    </row>
    <row r="4" spans="1:15" x14ac:dyDescent="0.3">
      <c r="A4" s="4">
        <v>0.128185259</v>
      </c>
      <c r="B4" s="7">
        <v>220.96</v>
      </c>
      <c r="C4" s="16">
        <f t="shared" si="0"/>
        <v>4.9989413819999995E-2</v>
      </c>
      <c r="D4" s="9">
        <v>47.36583692</v>
      </c>
      <c r="E4" s="9">
        <v>15.112877770000001</v>
      </c>
      <c r="F4" s="16" t="s">
        <v>16</v>
      </c>
      <c r="G4" s="16">
        <f t="shared" ref="G4:H19" si="4">G3</f>
        <v>1.1947333333333334E-7</v>
      </c>
      <c r="H4" s="16">
        <f t="shared" si="4"/>
        <v>1.6E-2</v>
      </c>
      <c r="I4" s="16">
        <f t="shared" si="1"/>
        <v>2023933.1872105352</v>
      </c>
      <c r="J4" s="18">
        <v>15000000</v>
      </c>
      <c r="K4" s="16">
        <f t="shared" si="2"/>
        <v>7.4113118430918137</v>
      </c>
      <c r="L4" s="16">
        <f t="shared" si="3"/>
        <v>4.2165274733552818E-2</v>
      </c>
      <c r="M4" s="16">
        <f t="shared" ref="M4:M31" si="5">M3 + (L4 * C4)</f>
        <v>4.6805935903752689E-3</v>
      </c>
      <c r="N4" s="16">
        <f t="shared" ref="N4:N31" si="6">N3 + (M4 * C4)</f>
        <v>3.6754543459970685E-4</v>
      </c>
    </row>
    <row r="5" spans="1:15" x14ac:dyDescent="0.3">
      <c r="A5" s="4">
        <v>0.1750183263</v>
      </c>
      <c r="B5" s="7">
        <v>219.57</v>
      </c>
      <c r="C5" s="16">
        <f t="shared" si="0"/>
        <v>4.6833067300000003E-2</v>
      </c>
      <c r="D5" s="9">
        <v>43.27973385</v>
      </c>
      <c r="E5" s="9">
        <v>12.80563585</v>
      </c>
      <c r="F5" s="16" t="s">
        <v>16</v>
      </c>
      <c r="G5" s="16">
        <f t="shared" si="4"/>
        <v>1.1947333333333334E-7</v>
      </c>
      <c r="H5" s="16">
        <f t="shared" si="4"/>
        <v>1.6E-2</v>
      </c>
      <c r="I5" s="16">
        <f t="shared" si="1"/>
        <v>1714944.8155794877</v>
      </c>
      <c r="J5" s="18">
        <v>15000000</v>
      </c>
      <c r="K5" s="16">
        <f t="shared" si="2"/>
        <v>8.7466371300883115</v>
      </c>
      <c r="L5" s="16">
        <f t="shared" si="3"/>
        <v>3.5728016991239328E-2</v>
      </c>
      <c r="M5" s="16">
        <f t="shared" si="5"/>
        <v>6.3538462146215235E-3</v>
      </c>
      <c r="N5" s="16">
        <f t="shared" si="6"/>
        <v>6.6511554198292694E-4</v>
      </c>
    </row>
    <row r="6" spans="1:15" x14ac:dyDescent="0.3">
      <c r="A6" s="4">
        <v>0.2175418616</v>
      </c>
      <c r="B6" s="7">
        <v>217.83</v>
      </c>
      <c r="C6" s="16">
        <f t="shared" si="0"/>
        <v>4.2523535299999998E-2</v>
      </c>
      <c r="D6" s="9">
        <v>39.5269823</v>
      </c>
      <c r="E6" s="9">
        <v>10.85999382</v>
      </c>
      <c r="F6" s="16" t="s">
        <v>16</v>
      </c>
      <c r="G6" s="16">
        <f t="shared" si="4"/>
        <v>1.1947333333333334E-7</v>
      </c>
      <c r="H6" s="16">
        <f t="shared" si="4"/>
        <v>1.6E-2</v>
      </c>
      <c r="I6" s="16">
        <f t="shared" si="1"/>
        <v>1454382.2983092461</v>
      </c>
      <c r="J6" s="18">
        <v>15000000</v>
      </c>
      <c r="K6" s="16">
        <f t="shared" si="2"/>
        <v>10.313656881988907</v>
      </c>
      <c r="L6" s="16">
        <f t="shared" si="3"/>
        <v>3.0299631214775958E-2</v>
      </c>
      <c r="M6" s="16">
        <f t="shared" si="5"/>
        <v>7.6422936521600305E-3</v>
      </c>
      <c r="N6" s="16">
        <f t="shared" si="6"/>
        <v>9.9009288587351986E-4</v>
      </c>
    </row>
    <row r="7" spans="1:15" x14ac:dyDescent="0.3">
      <c r="A7" s="4">
        <v>0.25470879429999999</v>
      </c>
      <c r="B7" s="7">
        <v>215.84</v>
      </c>
      <c r="C7" s="16">
        <f t="shared" si="0"/>
        <v>3.7166932699999988E-2</v>
      </c>
      <c r="D7" s="9">
        <v>36.200551310000002</v>
      </c>
      <c r="E7" s="9">
        <v>9.2752767140000003</v>
      </c>
      <c r="F7" s="16" t="s">
        <v>16</v>
      </c>
      <c r="G7" s="16">
        <f t="shared" si="4"/>
        <v>1.1947333333333334E-7</v>
      </c>
      <c r="H7" s="16">
        <f t="shared" si="4"/>
        <v>1.6E-2</v>
      </c>
      <c r="I7" s="16">
        <f t="shared" si="1"/>
        <v>1242155.2432118743</v>
      </c>
      <c r="J7" s="18">
        <v>15000000</v>
      </c>
      <c r="K7" s="16">
        <f t="shared" si="2"/>
        <v>12.075785278830443</v>
      </c>
      <c r="L7" s="16">
        <f t="shared" si="3"/>
        <v>2.5878234233580714E-2</v>
      </c>
      <c r="M7" s="16">
        <f t="shared" si="5"/>
        <v>8.6041082423143605E-3</v>
      </c>
      <c r="N7" s="16">
        <f t="shared" si="6"/>
        <v>1.3098811978591329E-3</v>
      </c>
    </row>
    <row r="8" spans="1:15" x14ac:dyDescent="0.3">
      <c r="A8" s="4">
        <v>0.28560395109999998</v>
      </c>
      <c r="B8" s="7">
        <v>213.73</v>
      </c>
      <c r="C8" s="16">
        <f t="shared" si="0"/>
        <v>3.089515679999999E-2</v>
      </c>
      <c r="D8" s="9">
        <v>33.37928144</v>
      </c>
      <c r="E8" s="9">
        <v>8.0357035309999993</v>
      </c>
      <c r="F8" s="16" t="s">
        <v>16</v>
      </c>
      <c r="G8" s="16">
        <f t="shared" si="4"/>
        <v>1.1947333333333334E-7</v>
      </c>
      <c r="H8" s="16">
        <f t="shared" si="4"/>
        <v>1.6E-2</v>
      </c>
      <c r="I8" s="16">
        <f t="shared" si="1"/>
        <v>1076150.2413034984</v>
      </c>
      <c r="J8" s="18">
        <v>15000000</v>
      </c>
      <c r="K8" s="16">
        <f t="shared" si="2"/>
        <v>13.938574210447689</v>
      </c>
      <c r="L8" s="16">
        <f t="shared" si="3"/>
        <v>2.2419796693822887E-2</v>
      </c>
      <c r="M8" s="16">
        <f t="shared" si="5"/>
        <v>9.2967713765941401E-3</v>
      </c>
      <c r="N8" s="16">
        <f t="shared" si="6"/>
        <v>1.5971064072727607E-3</v>
      </c>
    </row>
    <row r="9" spans="1:15" x14ac:dyDescent="0.3">
      <c r="A9" s="4">
        <v>0.3094665908</v>
      </c>
      <c r="B9" s="7">
        <v>211.59</v>
      </c>
      <c r="C9" s="16">
        <f t="shared" si="0"/>
        <v>2.3862639700000021E-2</v>
      </c>
      <c r="D9" s="9">
        <v>31.126221260000001</v>
      </c>
      <c r="E9" s="9">
        <v>7.1161549959999997</v>
      </c>
      <c r="F9" s="16" t="s">
        <v>16</v>
      </c>
      <c r="G9" s="16">
        <f t="shared" si="4"/>
        <v>1.1947333333333334E-7</v>
      </c>
      <c r="H9" s="16">
        <f t="shared" si="4"/>
        <v>1.6E-2</v>
      </c>
      <c r="I9" s="16">
        <f t="shared" si="1"/>
        <v>953003.29169131175</v>
      </c>
      <c r="J9" s="18">
        <v>15000000</v>
      </c>
      <c r="K9" s="16">
        <f t="shared" si="2"/>
        <v>15.739714784593488</v>
      </c>
      <c r="L9" s="16">
        <f t="shared" si="3"/>
        <v>1.9854235243568996E-2</v>
      </c>
      <c r="M9" s="16">
        <f t="shared" si="5"/>
        <v>9.770545838730469E-3</v>
      </c>
      <c r="N9" s="16">
        <f t="shared" si="6"/>
        <v>1.8302574222947203E-3</v>
      </c>
    </row>
    <row r="10" spans="1:15" x14ac:dyDescent="0.3">
      <c r="A10" s="4">
        <v>0.32570913600000001</v>
      </c>
      <c r="B10" s="7">
        <v>209.55</v>
      </c>
      <c r="C10" s="16">
        <f t="shared" si="0"/>
        <v>1.6242545200000014E-2</v>
      </c>
      <c r="D10" s="9">
        <v>29.488095040000001</v>
      </c>
      <c r="E10" s="9">
        <v>6.4881275369999996</v>
      </c>
      <c r="F10" s="16" t="s">
        <v>16</v>
      </c>
      <c r="G10" s="16">
        <f t="shared" si="4"/>
        <v>1.1947333333333334E-7</v>
      </c>
      <c r="H10" s="16">
        <f t="shared" si="4"/>
        <v>1.6E-2</v>
      </c>
      <c r="I10" s="16">
        <f t="shared" si="1"/>
        <v>868897.16471179051</v>
      </c>
      <c r="J10" s="18">
        <v>15000000</v>
      </c>
      <c r="K10" s="16">
        <f t="shared" si="2"/>
        <v>17.263262684227353</v>
      </c>
      <c r="L10" s="16">
        <f t="shared" si="3"/>
        <v>1.8102024264828969E-2</v>
      </c>
      <c r="M10" s="16">
        <f t="shared" si="5"/>
        <v>1.006456878606345E-2</v>
      </c>
      <c r="N10" s="16">
        <f t="shared" si="6"/>
        <v>1.9937316357208652E-3</v>
      </c>
    </row>
    <row r="11" spans="1:15" x14ac:dyDescent="0.3">
      <c r="A11" s="4">
        <v>0.33393164120000002</v>
      </c>
      <c r="B11" s="7">
        <v>207.98</v>
      </c>
      <c r="C11" s="16">
        <f t="shared" si="0"/>
        <v>8.2225052000000076E-3</v>
      </c>
      <c r="D11" s="9">
        <v>28.4956739</v>
      </c>
      <c r="E11" s="9">
        <v>6.1251794249999998</v>
      </c>
      <c r="F11" s="16" t="s">
        <v>16</v>
      </c>
      <c r="G11" s="16">
        <f t="shared" si="4"/>
        <v>1.1947333333333334E-7</v>
      </c>
      <c r="H11" s="16">
        <f t="shared" si="4"/>
        <v>1.6E-2</v>
      </c>
      <c r="I11" s="16">
        <f t="shared" si="1"/>
        <v>820290.75498019077</v>
      </c>
      <c r="J11" s="18">
        <v>15000000</v>
      </c>
      <c r="K11" s="16">
        <f t="shared" si="2"/>
        <v>18.286199020202581</v>
      </c>
      <c r="L11" s="16">
        <f t="shared" si="3"/>
        <v>1.7089390728753973E-2</v>
      </c>
      <c r="M11" s="16">
        <f t="shared" si="5"/>
        <v>1.0205086390195461E-2</v>
      </c>
      <c r="N11" s="16">
        <f t="shared" si="6"/>
        <v>2.0776430116306965E-3</v>
      </c>
    </row>
    <row r="12" spans="1:15" x14ac:dyDescent="0.3">
      <c r="A12" s="4">
        <v>0.35420251019999999</v>
      </c>
      <c r="B12" s="7">
        <v>210.99</v>
      </c>
      <c r="C12" s="16">
        <f t="shared" si="0"/>
        <v>2.0270868999999969E-2</v>
      </c>
      <c r="D12" s="9">
        <v>28.164249649999999</v>
      </c>
      <c r="E12" s="9">
        <v>6.0073008699999999</v>
      </c>
      <c r="F12" s="16" t="s">
        <v>16</v>
      </c>
      <c r="G12" s="16">
        <f t="shared" si="4"/>
        <v>1.1947333333333334E-7</v>
      </c>
      <c r="H12" s="16">
        <f t="shared" si="4"/>
        <v>1.6E-2</v>
      </c>
      <c r="I12" s="16">
        <f t="shared" si="1"/>
        <v>804504.32944590144</v>
      </c>
      <c r="J12" s="18">
        <v>15000000</v>
      </c>
      <c r="K12" s="16">
        <f t="shared" si="2"/>
        <v>18.645020854432417</v>
      </c>
      <c r="L12" s="16">
        <f t="shared" si="3"/>
        <v>1.676050686345628E-2</v>
      </c>
      <c r="M12" s="16">
        <f t="shared" si="5"/>
        <v>1.0544836429198184E-2</v>
      </c>
      <c r="N12" s="16">
        <f t="shared" si="6"/>
        <v>2.2913960095134003E-3</v>
      </c>
    </row>
    <row r="13" spans="1:15" x14ac:dyDescent="0.3">
      <c r="A13" s="4">
        <v>0.39049530609999999</v>
      </c>
      <c r="B13" s="7">
        <v>215.28</v>
      </c>
      <c r="C13" s="16">
        <f t="shared" si="0"/>
        <v>3.6292795900000008E-2</v>
      </c>
      <c r="D13" s="9">
        <v>25.263609899999999</v>
      </c>
      <c r="E13" s="9">
        <v>4.9819807870000004</v>
      </c>
      <c r="F13" s="16" t="s">
        <v>16</v>
      </c>
      <c r="G13" s="16">
        <f t="shared" si="4"/>
        <v>1.1947333333333334E-7</v>
      </c>
      <c r="H13" s="16">
        <f t="shared" si="4"/>
        <v>1.6E-2</v>
      </c>
      <c r="I13" s="16">
        <f t="shared" si="1"/>
        <v>667192.33797221142</v>
      </c>
      <c r="J13" s="18">
        <v>15000000</v>
      </c>
      <c r="K13" s="16">
        <f t="shared" si="2"/>
        <v>22.482272571638482</v>
      </c>
      <c r="L13" s="16">
        <f t="shared" si="3"/>
        <v>1.3899840374421071E-2</v>
      </c>
      <c r="M13" s="16">
        <f t="shared" si="5"/>
        <v>1.1049300498949628E-2</v>
      </c>
      <c r="N13" s="16">
        <f t="shared" si="6"/>
        <v>2.6924060173595474E-3</v>
      </c>
    </row>
    <row r="14" spans="1:15" x14ac:dyDescent="0.3">
      <c r="A14" s="4">
        <v>0.42645212030000001</v>
      </c>
      <c r="B14" s="7">
        <v>218.71</v>
      </c>
      <c r="C14" s="16">
        <f t="shared" si="0"/>
        <v>3.595681420000002E-2</v>
      </c>
      <c r="D14" s="9">
        <v>22.448919360000001</v>
      </c>
      <c r="E14" s="9">
        <v>4.0679289460000003</v>
      </c>
      <c r="F14" s="16" t="s">
        <v>16</v>
      </c>
      <c r="G14" s="16">
        <f>(D37*(E37^3))/12 - ((D37-(2*B47))*((E37-(2*B47))^3))/12</f>
        <v>2.8833333333333333E-8</v>
      </c>
      <c r="H14" s="16">
        <f>E37/2</f>
        <v>0.01</v>
      </c>
      <c r="I14" s="16">
        <f t="shared" si="1"/>
        <v>1410842.4090173412</v>
      </c>
      <c r="J14" s="18">
        <v>15000000</v>
      </c>
      <c r="K14" s="16">
        <f t="shared" si="2"/>
        <v>10.631945782270307</v>
      </c>
      <c r="L14" s="16">
        <f t="shared" si="3"/>
        <v>4.7028080300578042E-2</v>
      </c>
      <c r="M14" s="16">
        <f t="shared" si="5"/>
        <v>1.2740280444500193E-2</v>
      </c>
      <c r="N14" s="16">
        <f t="shared" si="6"/>
        <v>3.1505059141583346E-3</v>
      </c>
    </row>
    <row r="15" spans="1:15" x14ac:dyDescent="0.3">
      <c r="A15" s="4">
        <v>0.46185126710000002</v>
      </c>
      <c r="B15" s="7">
        <v>221.55</v>
      </c>
      <c r="C15" s="16">
        <f t="shared" si="0"/>
        <v>3.5399146800000003E-2</v>
      </c>
      <c r="D15" s="9">
        <v>19.745576920000001</v>
      </c>
      <c r="E15" s="9">
        <v>3.2657604290000002</v>
      </c>
      <c r="F15" s="16" t="s">
        <v>16</v>
      </c>
      <c r="G15" s="16">
        <f>G14</f>
        <v>2.8833333333333333E-8</v>
      </c>
      <c r="H15" s="16">
        <f>H14</f>
        <v>0.01</v>
      </c>
      <c r="I15" s="16">
        <f t="shared" si="1"/>
        <v>1132633.6747976879</v>
      </c>
      <c r="J15" s="18">
        <v>15000000</v>
      </c>
      <c r="K15" s="16">
        <f t="shared" si="2"/>
        <v>13.243469917737801</v>
      </c>
      <c r="L15" s="16">
        <f t="shared" si="3"/>
        <v>3.7754455826589595E-2</v>
      </c>
      <c r="M15" s="16">
        <f t="shared" si="5"/>
        <v>1.4076755968659753E-2</v>
      </c>
      <c r="N15" s="16">
        <f t="shared" si="6"/>
        <v>3.6488110651606972E-3</v>
      </c>
    </row>
    <row r="16" spans="1:15" x14ac:dyDescent="0.3">
      <c r="A16" s="4">
        <v>0.49647449900000001</v>
      </c>
      <c r="B16" s="7">
        <v>223.74</v>
      </c>
      <c r="C16" s="16">
        <f t="shared" si="0"/>
        <v>3.4623231899999996E-2</v>
      </c>
      <c r="D16" s="9">
        <v>17.1745324</v>
      </c>
      <c r="E16" s="9">
        <v>2.5733771029999999</v>
      </c>
      <c r="F16" s="16" t="s">
        <v>16</v>
      </c>
      <c r="G16" s="16">
        <f t="shared" si="4"/>
        <v>2.8833333333333333E-8</v>
      </c>
      <c r="H16" s="16">
        <f t="shared" si="4"/>
        <v>0.01</v>
      </c>
      <c r="I16" s="16">
        <f t="shared" si="1"/>
        <v>892500.72936416173</v>
      </c>
      <c r="J16" s="18">
        <v>15000000</v>
      </c>
      <c r="K16" s="16">
        <f t="shared" si="2"/>
        <v>16.806708954385222</v>
      </c>
      <c r="L16" s="16">
        <f t="shared" si="3"/>
        <v>2.9750024312138728E-2</v>
      </c>
      <c r="M16" s="16">
        <f t="shared" si="5"/>
        <v>1.510679795944957E-2</v>
      </c>
      <c r="N16" s="16">
        <f t="shared" si="6"/>
        <v>4.1718572341771665E-3</v>
      </c>
    </row>
    <row r="17" spans="1:15" x14ac:dyDescent="0.3">
      <c r="A17" s="4">
        <v>0.53010835219999997</v>
      </c>
      <c r="B17" s="7">
        <v>225.19</v>
      </c>
      <c r="C17" s="16">
        <f t="shared" si="0"/>
        <v>3.3633853199999952E-2</v>
      </c>
      <c r="D17" s="9">
        <v>14.753781099999999</v>
      </c>
      <c r="E17" s="9">
        <v>1.9863305090000001</v>
      </c>
      <c r="F17" s="16" t="s">
        <v>16</v>
      </c>
      <c r="G17" s="16">
        <f t="shared" si="4"/>
        <v>2.8833333333333333E-8</v>
      </c>
      <c r="H17" s="16">
        <f t="shared" si="4"/>
        <v>0.01</v>
      </c>
      <c r="I17" s="16">
        <f t="shared" si="1"/>
        <v>688900.754566474</v>
      </c>
      <c r="J17" s="18">
        <v>15000000</v>
      </c>
      <c r="K17" s="16">
        <f t="shared" si="2"/>
        <v>21.773818508065819</v>
      </c>
      <c r="L17" s="16">
        <f t="shared" si="3"/>
        <v>2.2963358485549135E-2</v>
      </c>
      <c r="M17" s="16">
        <f t="shared" si="5"/>
        <v>1.5879144187731502E-2</v>
      </c>
      <c r="N17" s="16">
        <f t="shared" si="6"/>
        <v>4.7059340387289603E-3</v>
      </c>
    </row>
    <row r="18" spans="1:15" x14ac:dyDescent="0.3">
      <c r="A18" s="4">
        <v>0.56254546299999997</v>
      </c>
      <c r="B18" s="7">
        <v>225.73</v>
      </c>
      <c r="C18" s="16">
        <f t="shared" si="0"/>
        <v>3.2437110800000002E-2</v>
      </c>
      <c r="D18" s="9">
        <v>12.49862282</v>
      </c>
      <c r="E18" s="9">
        <v>1.4981798369999999</v>
      </c>
      <c r="F18" s="16" t="s">
        <v>16</v>
      </c>
      <c r="G18" s="16">
        <f t="shared" si="4"/>
        <v>2.8833333333333333E-8</v>
      </c>
      <c r="H18" s="16">
        <f t="shared" si="4"/>
        <v>0.01</v>
      </c>
      <c r="I18" s="16">
        <f t="shared" si="1"/>
        <v>519599.94346820802</v>
      </c>
      <c r="J18" s="18">
        <v>15000000</v>
      </c>
      <c r="K18" s="16">
        <f t="shared" si="2"/>
        <v>28.868363417975974</v>
      </c>
      <c r="L18" s="16">
        <f t="shared" si="3"/>
        <v>1.7319998115606937E-2</v>
      </c>
      <c r="M18" s="16">
        <f t="shared" si="5"/>
        <v>1.6440954885663234E-2</v>
      </c>
      <c r="N18" s="16">
        <f t="shared" si="6"/>
        <v>5.23923111401302E-3</v>
      </c>
    </row>
    <row r="19" spans="1:15" x14ac:dyDescent="0.3">
      <c r="A19" s="4">
        <v>0.59358584550000004</v>
      </c>
      <c r="B19" s="7">
        <v>225.13</v>
      </c>
      <c r="C19" s="16">
        <f t="shared" si="0"/>
        <v>3.1040382500000074E-2</v>
      </c>
      <c r="D19" s="9">
        <v>10.421717109999999</v>
      </c>
      <c r="E19" s="9">
        <v>1.1008768369999999</v>
      </c>
      <c r="F19" s="16" t="s">
        <v>16</v>
      </c>
      <c r="G19" s="16">
        <f t="shared" si="4"/>
        <v>2.8833333333333333E-8</v>
      </c>
      <c r="H19" s="16">
        <f t="shared" si="4"/>
        <v>0.01</v>
      </c>
      <c r="I19" s="16">
        <f t="shared" si="1"/>
        <v>381806.99549132946</v>
      </c>
      <c r="J19" s="18">
        <v>15000000</v>
      </c>
      <c r="K19" s="16">
        <f t="shared" si="2"/>
        <v>39.28686529354237</v>
      </c>
      <c r="L19" s="16">
        <f t="shared" si="3"/>
        <v>1.2726899849710982E-2</v>
      </c>
      <c r="M19" s="16">
        <f t="shared" si="5"/>
        <v>1.6836002725037456E-2</v>
      </c>
      <c r="N19" s="16">
        <f t="shared" si="6"/>
        <v>5.7618270783692267E-3</v>
      </c>
    </row>
    <row r="20" spans="1:15" x14ac:dyDescent="0.3">
      <c r="A20" s="4">
        <v>0.62303812569999995</v>
      </c>
      <c r="B20" s="7">
        <v>223.12</v>
      </c>
      <c r="C20" s="16">
        <f t="shared" si="0"/>
        <v>2.9452280199999903E-2</v>
      </c>
      <c r="D20" s="9">
        <v>8.5330868950000003</v>
      </c>
      <c r="E20" s="9">
        <v>0.78517152099999998</v>
      </c>
      <c r="F20" s="16" t="s">
        <v>16</v>
      </c>
      <c r="G20" s="16">
        <f>G19</f>
        <v>2.8833333333333333E-8</v>
      </c>
      <c r="H20" s="16">
        <f t="shared" ref="H20:H23" si="7">H19</f>
        <v>0.01</v>
      </c>
      <c r="I20" s="16">
        <f t="shared" si="1"/>
        <v>272313.82231213874</v>
      </c>
      <c r="J20" s="18">
        <v>15000000</v>
      </c>
      <c r="K20" s="16">
        <f t="shared" si="2"/>
        <v>55.083505760520318</v>
      </c>
      <c r="L20" s="16">
        <f t="shared" si="3"/>
        <v>9.0771274104046243E-3</v>
      </c>
      <c r="M20" s="16">
        <f t="shared" si="5"/>
        <v>1.7103344824939793E-2</v>
      </c>
      <c r="N20" s="16">
        <f t="shared" si="6"/>
        <v>6.2655595825105714E-3</v>
      </c>
    </row>
    <row r="21" spans="1:15" x14ac:dyDescent="0.3">
      <c r="A21" s="4">
        <v>0.65072072039999995</v>
      </c>
      <c r="B21" s="7">
        <v>219.39</v>
      </c>
      <c r="C21" s="16">
        <f t="shared" si="0"/>
        <v>2.7682594700000007E-2</v>
      </c>
      <c r="D21" s="9">
        <v>6.8400860269999999</v>
      </c>
      <c r="E21" s="9">
        <v>0.54102678599999998</v>
      </c>
      <c r="F21" s="16" t="s">
        <v>16</v>
      </c>
      <c r="G21" s="16">
        <f t="shared" ref="G21:G31" si="8">G20</f>
        <v>2.8833333333333333E-8</v>
      </c>
      <c r="H21" s="16">
        <f t="shared" si="7"/>
        <v>0.01</v>
      </c>
      <c r="I21" s="16">
        <f t="shared" si="1"/>
        <v>187639.34774566474</v>
      </c>
      <c r="J21" s="18">
        <v>15000000</v>
      </c>
      <c r="K21" s="16">
        <f t="shared" si="2"/>
        <v>79.940589115304917</v>
      </c>
      <c r="L21" s="16">
        <f t="shared" si="3"/>
        <v>6.254644924855491E-3</v>
      </c>
      <c r="M21" s="16">
        <f t="shared" si="5"/>
        <v>1.7276489625386981E-2</v>
      </c>
      <c r="N21" s="16">
        <f t="shared" si="6"/>
        <v>6.7438176426489142E-3</v>
      </c>
    </row>
    <row r="22" spans="1:15" x14ac:dyDescent="0.3">
      <c r="A22" s="5">
        <v>0.67646295729999995</v>
      </c>
      <c r="B22" s="8">
        <v>213.6</v>
      </c>
      <c r="C22" s="16">
        <f t="shared" si="0"/>
        <v>2.5742236899999993E-2</v>
      </c>
      <c r="D22" s="10">
        <v>5.3473120840000004</v>
      </c>
      <c r="E22" s="10">
        <v>0.35802950500000003</v>
      </c>
      <c r="F22" s="16" t="s">
        <v>16</v>
      </c>
      <c r="G22" s="16">
        <f t="shared" si="8"/>
        <v>2.8833333333333333E-8</v>
      </c>
      <c r="H22" s="16">
        <f t="shared" si="7"/>
        <v>0.01</v>
      </c>
      <c r="I22" s="16">
        <f t="shared" si="1"/>
        <v>124172.08265895955</v>
      </c>
      <c r="J22" s="18">
        <v>15000000</v>
      </c>
      <c r="K22" s="16">
        <f t="shared" si="2"/>
        <v>120.80009998058678</v>
      </c>
      <c r="L22" s="16">
        <f t="shared" si="3"/>
        <v>4.1390694219653182E-3</v>
      </c>
      <c r="M22" s="16">
        <f t="shared" si="5"/>
        <v>1.7383038530992757E-2</v>
      </c>
      <c r="N22" s="16">
        <f t="shared" si="6"/>
        <v>7.1912959385555574E-3</v>
      </c>
    </row>
    <row r="23" spans="1:15" x14ac:dyDescent="0.3">
      <c r="A23" s="4">
        <v>0.70010612670000005</v>
      </c>
      <c r="B23" s="7">
        <v>205.37</v>
      </c>
      <c r="C23" s="16">
        <f t="shared" si="0"/>
        <v>2.3643169400000108E-2</v>
      </c>
      <c r="D23" s="9">
        <v>4.0564400919999999</v>
      </c>
      <c r="E23" s="9">
        <v>0.225786084</v>
      </c>
      <c r="F23" s="16" t="s">
        <v>16</v>
      </c>
      <c r="G23" s="16">
        <f t="shared" si="8"/>
        <v>2.8833333333333333E-8</v>
      </c>
      <c r="H23" s="16">
        <f t="shared" si="7"/>
        <v>0.01</v>
      </c>
      <c r="I23" s="16">
        <f t="shared" si="1"/>
        <v>78307.312369942199</v>
      </c>
      <c r="J23" s="18">
        <v>15000000</v>
      </c>
      <c r="K23" s="16">
        <f t="shared" si="2"/>
        <v>191.55299225615693</v>
      </c>
      <c r="L23" s="16">
        <f t="shared" si="3"/>
        <v>2.61024374566474E-3</v>
      </c>
      <c r="M23" s="16">
        <f t="shared" si="5"/>
        <v>1.7444752966046799E-2</v>
      </c>
      <c r="N23" s="16">
        <f t="shared" si="6"/>
        <v>7.6037451880729559E-3</v>
      </c>
    </row>
    <row r="24" spans="1:15" x14ac:dyDescent="0.3">
      <c r="A24" s="4">
        <v>0.72150446079999997</v>
      </c>
      <c r="B24" s="7">
        <v>194.38</v>
      </c>
      <c r="C24" s="16">
        <f t="shared" si="0"/>
        <v>2.1398334099999916E-2</v>
      </c>
      <c r="D24" s="9">
        <v>2.965965513</v>
      </c>
      <c r="E24" s="9">
        <v>0.134290979</v>
      </c>
      <c r="F24" s="16" t="s">
        <v>16</v>
      </c>
      <c r="G24" s="16">
        <f>(D38*(E38^3))/12 - ((D38-(2*B48))*((E38-(2*B48))^3))/12</f>
        <v>3.1520000000000003E-9</v>
      </c>
      <c r="H24" s="16">
        <f>E38/2</f>
        <v>5.0000000000000001E-3</v>
      </c>
      <c r="I24" s="16">
        <f t="shared" si="1"/>
        <v>213025.0301395939</v>
      </c>
      <c r="J24" s="18">
        <v>15000000</v>
      </c>
      <c r="K24" s="16">
        <f t="shared" si="2"/>
        <v>70.414260663033815</v>
      </c>
      <c r="L24" s="16">
        <f t="shared" si="3"/>
        <v>1.4201668675972926E-2</v>
      </c>
      <c r="M24" s="16">
        <f t="shared" si="5"/>
        <v>1.7748645017152773E-2</v>
      </c>
      <c r="N24" s="16">
        <f t="shared" si="6"/>
        <v>7.9835366239722899E-3</v>
      </c>
    </row>
    <row r="25" spans="1:15" x14ac:dyDescent="0.3">
      <c r="A25" s="4">
        <v>0.74052603169999998</v>
      </c>
      <c r="B25" s="7">
        <v>180.35</v>
      </c>
      <c r="C25" s="16">
        <f t="shared" si="0"/>
        <v>1.9021570900000007E-2</v>
      </c>
      <c r="D25" s="9">
        <v>2.0708724009999999</v>
      </c>
      <c r="E25" s="9">
        <v>7.4256423000000002E-2</v>
      </c>
      <c r="F25" s="16" t="s">
        <v>16</v>
      </c>
      <c r="G25" s="16">
        <f t="shared" si="8"/>
        <v>3.1520000000000003E-9</v>
      </c>
      <c r="H25" s="16">
        <f>H24</f>
        <v>5.0000000000000001E-3</v>
      </c>
      <c r="I25" s="16">
        <f t="shared" si="1"/>
        <v>117792.5491751269</v>
      </c>
      <c r="J25" s="18">
        <v>15000000</v>
      </c>
      <c r="K25" s="16">
        <f t="shared" si="2"/>
        <v>127.34251958244744</v>
      </c>
      <c r="L25" s="16">
        <f t="shared" si="3"/>
        <v>7.8528366116751257E-3</v>
      </c>
      <c r="M25" s="16">
        <f t="shared" si="5"/>
        <v>1.7898018305527869E-2</v>
      </c>
      <c r="N25" s="16">
        <f t="shared" si="6"/>
        <v>8.3239850481403865E-3</v>
      </c>
    </row>
    <row r="26" spans="1:15" x14ac:dyDescent="0.3">
      <c r="A26" s="4">
        <v>0.7570535652</v>
      </c>
      <c r="B26" s="7">
        <v>163.1</v>
      </c>
      <c r="C26" s="16">
        <f t="shared" si="0"/>
        <v>1.6527533500000025E-2</v>
      </c>
      <c r="D26" s="9">
        <v>1.3622792459999999</v>
      </c>
      <c r="E26" s="9">
        <v>3.7390772000000003E-2</v>
      </c>
      <c r="F26" s="16" t="s">
        <v>16</v>
      </c>
      <c r="G26" s="16">
        <f t="shared" si="8"/>
        <v>3.1520000000000003E-9</v>
      </c>
      <c r="H26" s="16">
        <f t="shared" ref="H26:H31" si="9">H25</f>
        <v>5.0000000000000001E-3</v>
      </c>
      <c r="I26" s="16">
        <f t="shared" si="1"/>
        <v>59312.772842639592</v>
      </c>
      <c r="J26" s="18">
        <v>15000000</v>
      </c>
      <c r="K26" s="16">
        <f t="shared" si="2"/>
        <v>252.89662379797883</v>
      </c>
      <c r="L26" s="16">
        <f t="shared" si="3"/>
        <v>3.9541848561759725E-3</v>
      </c>
      <c r="M26" s="16">
        <f t="shared" si="5"/>
        <v>1.796337122820351E-2</v>
      </c>
      <c r="N26" s="16">
        <f t="shared" si="6"/>
        <v>8.6208752678874571E-3</v>
      </c>
    </row>
    <row r="27" spans="1:15" x14ac:dyDescent="0.3">
      <c r="A27" s="4">
        <v>0.7709851633</v>
      </c>
      <c r="B27" s="7">
        <v>142.62</v>
      </c>
      <c r="C27" s="16">
        <f t="shared" si="0"/>
        <v>1.3931598099999998E-2</v>
      </c>
      <c r="D27" s="9">
        <v>0.82714257700000005</v>
      </c>
      <c r="E27" s="9">
        <v>1.6611823000000001E-2</v>
      </c>
      <c r="F27" s="16" t="s">
        <v>16</v>
      </c>
      <c r="G27" s="16">
        <f t="shared" si="8"/>
        <v>3.1520000000000003E-9</v>
      </c>
      <c r="H27" s="16">
        <f t="shared" si="9"/>
        <v>5.0000000000000001E-3</v>
      </c>
      <c r="I27" s="16">
        <f t="shared" si="1"/>
        <v>26351.242068527918</v>
      </c>
      <c r="J27" s="18">
        <v>15000000</v>
      </c>
      <c r="K27" s="16">
        <f t="shared" si="2"/>
        <v>569.23312992198396</v>
      </c>
      <c r="L27" s="16">
        <f t="shared" si="3"/>
        <v>1.7567494712351945E-3</v>
      </c>
      <c r="M27" s="16">
        <f t="shared" si="5"/>
        <v>1.7987845555799145E-2</v>
      </c>
      <c r="N27" s="16">
        <f t="shared" si="6"/>
        <v>8.8714747028557223E-3</v>
      </c>
    </row>
    <row r="28" spans="1:15" x14ac:dyDescent="0.3">
      <c r="A28" s="4">
        <v>0.78223493330000005</v>
      </c>
      <c r="B28" s="7">
        <v>119.05</v>
      </c>
      <c r="C28" s="16">
        <f t="shared" si="0"/>
        <v>1.1249770000000048E-2</v>
      </c>
      <c r="D28" s="9">
        <v>0.44809483100000003</v>
      </c>
      <c r="E28" s="9">
        <v>6.1814549999999998E-3</v>
      </c>
      <c r="F28" s="16" t="s">
        <v>16</v>
      </c>
      <c r="G28" s="16">
        <f t="shared" si="8"/>
        <v>3.1520000000000003E-9</v>
      </c>
      <c r="H28" s="16">
        <f t="shared" si="9"/>
        <v>5.0000000000000001E-3</v>
      </c>
      <c r="I28" s="16">
        <f t="shared" si="1"/>
        <v>9805.6075507614205</v>
      </c>
      <c r="J28" s="18">
        <v>15000000</v>
      </c>
      <c r="K28" s="16">
        <f t="shared" si="2"/>
        <v>1529.736930868218</v>
      </c>
      <c r="L28" s="16">
        <f t="shared" si="3"/>
        <v>6.5370717005076135E-4</v>
      </c>
      <c r="M28" s="16">
        <f t="shared" si="5"/>
        <v>1.7995199611109566E-2</v>
      </c>
      <c r="N28" s="16">
        <f t="shared" si="6"/>
        <v>9.0739165595847947E-3</v>
      </c>
    </row>
    <row r="29" spans="1:15" x14ac:dyDescent="0.3">
      <c r="A29" s="4">
        <v>0.79073351660000002</v>
      </c>
      <c r="B29" s="7">
        <v>92.77</v>
      </c>
      <c r="C29" s="16">
        <f t="shared" si="0"/>
        <v>8.4985832999999733E-3</v>
      </c>
      <c r="D29" s="9">
        <v>0.203457307</v>
      </c>
      <c r="E29" s="9">
        <v>1.7500580000000001E-3</v>
      </c>
      <c r="F29" s="16" t="s">
        <v>16</v>
      </c>
      <c r="G29" s="16">
        <f t="shared" si="8"/>
        <v>3.1520000000000003E-9</v>
      </c>
      <c r="H29" s="16">
        <f t="shared" si="9"/>
        <v>5.0000000000000001E-3</v>
      </c>
      <c r="I29" s="16">
        <f t="shared" si="1"/>
        <v>2776.1072335025383</v>
      </c>
      <c r="J29" s="18">
        <v>15000000</v>
      </c>
      <c r="K29" s="16">
        <f t="shared" si="2"/>
        <v>5403.2494923025406</v>
      </c>
      <c r="L29" s="16">
        <f t="shared" si="3"/>
        <v>1.8507381556683586E-4</v>
      </c>
      <c r="M29" s="16">
        <f t="shared" si="5"/>
        <v>1.799677247634781E-2</v>
      </c>
      <c r="N29" s="16">
        <f t="shared" si="6"/>
        <v>9.2268636296061832E-3</v>
      </c>
    </row>
    <row r="30" spans="1:15" x14ac:dyDescent="0.3">
      <c r="A30" s="4">
        <v>0.79642851640000001</v>
      </c>
      <c r="B30" s="7">
        <v>64.19</v>
      </c>
      <c r="C30" s="16">
        <f t="shared" si="0"/>
        <v>5.6949997999999891E-3</v>
      </c>
      <c r="D30" s="9">
        <v>6.7419095999999998E-2</v>
      </c>
      <c r="E30" s="9">
        <v>3.0393400000000001E-4</v>
      </c>
      <c r="F30" s="16" t="s">
        <v>16</v>
      </c>
      <c r="G30" s="16">
        <f t="shared" si="8"/>
        <v>3.1520000000000003E-9</v>
      </c>
      <c r="H30" s="16">
        <f t="shared" si="9"/>
        <v>5.0000000000000001E-3</v>
      </c>
      <c r="I30" s="16">
        <f t="shared" si="1"/>
        <v>482.12880710659897</v>
      </c>
      <c r="J30" s="18">
        <v>15000000</v>
      </c>
      <c r="K30" s="16">
        <f t="shared" si="2"/>
        <v>31112.017740693704</v>
      </c>
      <c r="L30" s="16">
        <f t="shared" si="3"/>
        <v>3.2141920473773262E-5</v>
      </c>
      <c r="M30" s="16">
        <f t="shared" si="5"/>
        <v>1.799695552457848E-2</v>
      </c>
      <c r="N30" s="16">
        <f t="shared" si="6"/>
        <v>9.3293562877192655E-3</v>
      </c>
    </row>
    <row r="31" spans="1:15" x14ac:dyDescent="0.3">
      <c r="A31" s="4">
        <v>0.79928482140000001</v>
      </c>
      <c r="B31" s="7">
        <v>36.119999999999997</v>
      </c>
      <c r="C31" s="16">
        <f t="shared" si="0"/>
        <v>2.8563050000000034E-3</v>
      </c>
      <c r="D31" s="9">
        <v>1.0646895999999999E-2</v>
      </c>
      <c r="E31" s="11">
        <v>1.5228999999999999E-5</v>
      </c>
      <c r="F31" s="16" t="s">
        <v>16</v>
      </c>
      <c r="G31" s="16">
        <f t="shared" si="8"/>
        <v>3.1520000000000003E-9</v>
      </c>
      <c r="H31" s="16">
        <f t="shared" si="9"/>
        <v>5.0000000000000001E-3</v>
      </c>
      <c r="I31" s="16">
        <f t="shared" si="1"/>
        <v>24.157677664974617</v>
      </c>
      <c r="J31" s="18">
        <v>15000000</v>
      </c>
      <c r="K31" s="16">
        <f t="shared" si="2"/>
        <v>620920.61199028173</v>
      </c>
      <c r="L31" s="16">
        <f t="shared" si="3"/>
        <v>1.610511844331641E-6</v>
      </c>
      <c r="M31" s="16">
        <f t="shared" si="5"/>
        <v>1.7996960124691513E-2</v>
      </c>
      <c r="N31" s="16">
        <f t="shared" si="6"/>
        <v>9.3807610949082233E-3</v>
      </c>
      <c r="O31" s="3"/>
    </row>
    <row r="32" spans="1:15" x14ac:dyDescent="0.3">
      <c r="A32" s="6"/>
      <c r="B32" s="12"/>
      <c r="D32" s="13"/>
      <c r="E32" s="14"/>
      <c r="F32" s="1"/>
      <c r="G32" s="1"/>
      <c r="H32" s="1"/>
      <c r="I32" s="3"/>
      <c r="J32" s="3"/>
      <c r="K32" s="1"/>
      <c r="L32" s="1"/>
      <c r="M32" s="1"/>
      <c r="N32" s="1"/>
      <c r="O32" s="3"/>
    </row>
    <row r="33" spans="1:15" x14ac:dyDescent="0.3">
      <c r="A33" s="6"/>
      <c r="F33" s="1" t="s">
        <v>10</v>
      </c>
      <c r="G33" s="1" t="s">
        <v>11</v>
      </c>
      <c r="H33" s="1" t="s">
        <v>12</v>
      </c>
      <c r="I33" s="3" t="s">
        <v>29</v>
      </c>
      <c r="J33" s="3" t="s">
        <v>28</v>
      </c>
      <c r="K33" s="1" t="s">
        <v>13</v>
      </c>
      <c r="L33" s="1" t="s">
        <v>14</v>
      </c>
      <c r="M33" s="3" t="s">
        <v>24</v>
      </c>
      <c r="N33" s="1" t="s">
        <v>15</v>
      </c>
      <c r="O33" s="3"/>
    </row>
    <row r="34" spans="1:15" x14ac:dyDescent="0.3">
      <c r="A34" s="2" t="s">
        <v>0</v>
      </c>
      <c r="F34" t="s">
        <v>21</v>
      </c>
      <c r="G34">
        <f>(PI()*((D42^4)-((D42-2*E42)^4)))/64</f>
        <v>4.7870018059074508E-9</v>
      </c>
      <c r="H34">
        <f>D42/2</f>
        <v>1.2E-2</v>
      </c>
      <c r="I34">
        <f t="shared" ref="I34:I52" si="10">(E2*H34/G34)</f>
        <v>51920148.660333551</v>
      </c>
      <c r="J34">
        <v>650000000</v>
      </c>
      <c r="K34">
        <f t="shared" ref="K34:K63" si="11">J34/I34</f>
        <v>12.51922455485173</v>
      </c>
      <c r="L34">
        <f t="shared" ref="L34:L52" si="12">E2/ (C52*G34)</f>
        <v>1.8811648065338242E-2</v>
      </c>
      <c r="M34">
        <v>0</v>
      </c>
      <c r="N34">
        <v>0</v>
      </c>
    </row>
    <row r="35" spans="1:15" x14ac:dyDescent="0.3">
      <c r="A35" s="2" t="s">
        <v>2</v>
      </c>
      <c r="B35" s="2" t="s">
        <v>3</v>
      </c>
      <c r="C35" s="2" t="s">
        <v>4</v>
      </c>
      <c r="D35" s="2" t="s">
        <v>17</v>
      </c>
      <c r="E35" s="2" t="s">
        <v>18</v>
      </c>
      <c r="F35" t="s">
        <v>21</v>
      </c>
      <c r="G35">
        <f>G34</f>
        <v>4.7870018059074508E-9</v>
      </c>
      <c r="H35">
        <f>H34</f>
        <v>1.2E-2</v>
      </c>
      <c r="I35">
        <f t="shared" si="10"/>
        <v>44526674.198652036</v>
      </c>
      <c r="J35">
        <v>650000000</v>
      </c>
      <c r="K35">
        <f t="shared" si="11"/>
        <v>14.597991242285003</v>
      </c>
      <c r="L35">
        <f t="shared" si="12"/>
        <v>1.6132852970526097E-2</v>
      </c>
      <c r="M35">
        <f>M34 + (L34*C3)</f>
        <v>9.7660398256364778E-4</v>
      </c>
      <c r="N35">
        <f>N34 + (M35 * C3)</f>
        <v>5.0700254196044502E-5</v>
      </c>
    </row>
    <row r="36" spans="1:15" x14ac:dyDescent="0.3">
      <c r="A36">
        <v>1</v>
      </c>
      <c r="B36">
        <v>0</v>
      </c>
      <c r="C36">
        <v>0.3</v>
      </c>
      <c r="D36">
        <v>0.06</v>
      </c>
      <c r="E36">
        <v>3.2000000000000001E-2</v>
      </c>
      <c r="F36" t="s">
        <v>21</v>
      </c>
      <c r="G36">
        <f t="shared" ref="G36:H51" si="13">G35</f>
        <v>4.7870018059074508E-9</v>
      </c>
      <c r="H36">
        <f t="shared" si="13"/>
        <v>1.2E-2</v>
      </c>
      <c r="I36">
        <f t="shared" si="10"/>
        <v>37884784.797072254</v>
      </c>
      <c r="J36">
        <v>650000000</v>
      </c>
      <c r="K36">
        <f t="shared" si="11"/>
        <v>17.157283682134896</v>
      </c>
      <c r="L36">
        <f t="shared" si="12"/>
        <v>1.3726371303287048E-2</v>
      </c>
      <c r="M36">
        <f t="shared" ref="M36:M63" si="14">M35 + (L35*C4)</f>
        <v>1.7830758458044931E-3</v>
      </c>
      <c r="N36">
        <f t="shared" ref="N36:N63" si="15">N35 + (M36 * C4)</f>
        <v>1.398351705244118E-4</v>
      </c>
    </row>
    <row r="37" spans="1:15" x14ac:dyDescent="0.3">
      <c r="A37">
        <v>2</v>
      </c>
      <c r="B37">
        <v>0.3</v>
      </c>
      <c r="C37">
        <v>0.7</v>
      </c>
      <c r="D37">
        <v>4.8000000000000001E-2</v>
      </c>
      <c r="E37">
        <v>0.02</v>
      </c>
      <c r="F37" t="s">
        <v>21</v>
      </c>
      <c r="G37">
        <f t="shared" si="13"/>
        <v>4.7870018059074508E-9</v>
      </c>
      <c r="H37">
        <f t="shared" si="13"/>
        <v>1.2E-2</v>
      </c>
      <c r="I37">
        <f t="shared" si="10"/>
        <v>32101017.804163937</v>
      </c>
      <c r="J37">
        <v>650000000</v>
      </c>
      <c r="K37">
        <f t="shared" si="11"/>
        <v>20.248579156131498</v>
      </c>
      <c r="L37">
        <f t="shared" si="12"/>
        <v>1.163080355223331E-2</v>
      </c>
      <c r="M37">
        <f t="shared" si="14"/>
        <v>2.4259239168361243E-3</v>
      </c>
      <c r="N37">
        <f t="shared" si="15"/>
        <v>2.5344862858627762E-4</v>
      </c>
    </row>
    <row r="38" spans="1:15" x14ac:dyDescent="0.3">
      <c r="A38">
        <v>3</v>
      </c>
      <c r="B38">
        <v>0.7</v>
      </c>
      <c r="C38">
        <v>1</v>
      </c>
      <c r="D38">
        <v>0.04</v>
      </c>
      <c r="E38">
        <v>0.01</v>
      </c>
      <c r="F38" t="s">
        <v>21</v>
      </c>
      <c r="G38">
        <f t="shared" si="13"/>
        <v>4.7870018059074508E-9</v>
      </c>
      <c r="H38">
        <f t="shared" si="13"/>
        <v>1.2E-2</v>
      </c>
      <c r="I38">
        <f t="shared" si="10"/>
        <v>27223705.175790261</v>
      </c>
      <c r="J38">
        <v>650000000</v>
      </c>
      <c r="K38">
        <f t="shared" si="11"/>
        <v>23.876250341486866</v>
      </c>
      <c r="L38">
        <f t="shared" si="12"/>
        <v>9.8636612955761808E-3</v>
      </c>
      <c r="M38">
        <f t="shared" si="14"/>
        <v>2.9205068022568831E-3</v>
      </c>
      <c r="N38">
        <f t="shared" si="15"/>
        <v>3.7763890268593828E-4</v>
      </c>
    </row>
    <row r="39" spans="1:15" x14ac:dyDescent="0.3">
      <c r="F39" t="s">
        <v>21</v>
      </c>
      <c r="G39">
        <f t="shared" si="13"/>
        <v>4.7870018059074508E-9</v>
      </c>
      <c r="H39">
        <f t="shared" si="13"/>
        <v>1.2E-2</v>
      </c>
      <c r="I39">
        <f t="shared" si="10"/>
        <v>23251154.915096324</v>
      </c>
      <c r="J39">
        <v>650000000</v>
      </c>
      <c r="K39">
        <f t="shared" si="11"/>
        <v>27.955600587305589</v>
      </c>
      <c r="L39">
        <f t="shared" si="12"/>
        <v>8.4243314909769277E-3</v>
      </c>
      <c r="M39">
        <f t="shared" si="14"/>
        <v>3.2871088378051577E-3</v>
      </c>
      <c r="N39">
        <f t="shared" si="15"/>
        <v>4.9981065563821782E-4</v>
      </c>
    </row>
    <row r="40" spans="1:15" x14ac:dyDescent="0.3">
      <c r="A40" s="2" t="s">
        <v>1</v>
      </c>
      <c r="F40" t="s">
        <v>21</v>
      </c>
      <c r="G40">
        <f t="shared" si="13"/>
        <v>4.7870018059074508E-9</v>
      </c>
      <c r="H40">
        <f t="shared" si="13"/>
        <v>1.2E-2</v>
      </c>
      <c r="I40">
        <f t="shared" si="10"/>
        <v>20143807.39380575</v>
      </c>
      <c r="J40">
        <v>650000000</v>
      </c>
      <c r="K40">
        <f t="shared" si="11"/>
        <v>32.267981285398704</v>
      </c>
      <c r="L40">
        <f t="shared" si="12"/>
        <v>7.2984809397846923E-3</v>
      </c>
      <c r="M40">
        <f t="shared" si="14"/>
        <v>3.5473798801540675E-3</v>
      </c>
      <c r="N40">
        <f t="shared" si="15"/>
        <v>6.0940751326474295E-4</v>
      </c>
    </row>
    <row r="41" spans="1:15" x14ac:dyDescent="0.3">
      <c r="A41" s="2" t="s">
        <v>2</v>
      </c>
      <c r="B41" s="2" t="s">
        <v>3</v>
      </c>
      <c r="C41" s="2" t="s">
        <v>4</v>
      </c>
      <c r="D41" s="2" t="s">
        <v>19</v>
      </c>
      <c r="E41" s="2" t="s">
        <v>20</v>
      </c>
      <c r="F41" t="s">
        <v>21</v>
      </c>
      <c r="G41">
        <f>(PI()*((D43^4)-((D43-2*E43)^4)))/64</f>
        <v>1.1711072014419351E-8</v>
      </c>
      <c r="H41">
        <f>D43/2</f>
        <v>1.6E-2</v>
      </c>
      <c r="I41">
        <f t="shared" si="10"/>
        <v>9722293.55227351</v>
      </c>
      <c r="J41">
        <v>650000000</v>
      </c>
      <c r="K41">
        <f t="shared" si="11"/>
        <v>66.85665234290326</v>
      </c>
      <c r="L41">
        <f t="shared" si="12"/>
        <v>2.6419275957264969E-3</v>
      </c>
      <c r="M41">
        <f t="shared" si="14"/>
        <v>3.721540901177467E-3</v>
      </c>
      <c r="N41">
        <f t="shared" si="15"/>
        <v>6.9821330291835429E-4</v>
      </c>
    </row>
    <row r="42" spans="1:15" x14ac:dyDescent="0.3">
      <c r="A42">
        <v>1</v>
      </c>
      <c r="B42">
        <v>0</v>
      </c>
      <c r="C42">
        <v>0.3</v>
      </c>
      <c r="D42">
        <v>2.4E-2</v>
      </c>
      <c r="E42">
        <v>1E-3</v>
      </c>
      <c r="F42" t="s">
        <v>21</v>
      </c>
      <c r="G42">
        <f t="shared" si="13"/>
        <v>1.1711072014419351E-8</v>
      </c>
      <c r="H42">
        <f>H41</f>
        <v>1.6E-2</v>
      </c>
      <c r="I42">
        <f t="shared" si="10"/>
        <v>8864264.5578631107</v>
      </c>
      <c r="J42">
        <v>650000000</v>
      </c>
      <c r="K42">
        <f t="shared" si="11"/>
        <v>73.328136334041687</v>
      </c>
      <c r="L42">
        <f t="shared" si="12"/>
        <v>2.4087675428975841E-3</v>
      </c>
      <c r="M42">
        <f t="shared" si="14"/>
        <v>3.7644525295661819E-3</v>
      </c>
      <c r="N42">
        <f t="shared" si="15"/>
        <v>7.5935759328308737E-4</v>
      </c>
    </row>
    <row r="43" spans="1:15" x14ac:dyDescent="0.3">
      <c r="A43">
        <v>2</v>
      </c>
      <c r="B43">
        <v>0.3</v>
      </c>
      <c r="C43">
        <v>0.7</v>
      </c>
      <c r="D43">
        <v>3.2000000000000001E-2</v>
      </c>
      <c r="E43">
        <v>1E-3</v>
      </c>
      <c r="F43" t="s">
        <v>21</v>
      </c>
      <c r="G43">
        <f t="shared" si="13"/>
        <v>1.1711072014419351E-8</v>
      </c>
      <c r="H43">
        <f t="shared" si="13"/>
        <v>1.6E-2</v>
      </c>
      <c r="I43">
        <f t="shared" si="10"/>
        <v>8368394.5141258789</v>
      </c>
      <c r="J43">
        <v>650000000</v>
      </c>
      <c r="K43">
        <f t="shared" si="11"/>
        <v>77.673202297381863</v>
      </c>
      <c r="L43">
        <f t="shared" si="12"/>
        <v>2.2740202484037714E-3</v>
      </c>
      <c r="M43">
        <f t="shared" si="14"/>
        <v>3.7842586332132483E-3</v>
      </c>
      <c r="N43">
        <f t="shared" si="15"/>
        <v>7.9047367957282822E-4</v>
      </c>
    </row>
    <row r="44" spans="1:15" x14ac:dyDescent="0.3">
      <c r="A44">
        <v>3</v>
      </c>
      <c r="B44">
        <v>0.7</v>
      </c>
      <c r="C44">
        <v>1</v>
      </c>
      <c r="D44">
        <v>0.04</v>
      </c>
      <c r="E44">
        <v>1E-3</v>
      </c>
      <c r="F44" t="s">
        <v>21</v>
      </c>
      <c r="G44">
        <f t="shared" si="13"/>
        <v>1.1711072014419351E-8</v>
      </c>
      <c r="H44">
        <f t="shared" si="13"/>
        <v>1.6E-2</v>
      </c>
      <c r="I44">
        <f t="shared" si="10"/>
        <v>8207345.4762856392</v>
      </c>
      <c r="J44">
        <v>650000000</v>
      </c>
      <c r="K44">
        <f t="shared" si="11"/>
        <v>79.197348506665705</v>
      </c>
      <c r="L44">
        <f t="shared" si="12"/>
        <v>2.2302569229037061E-3</v>
      </c>
      <c r="M44">
        <f t="shared" si="14"/>
        <v>3.8303549997719885E-3</v>
      </c>
      <c r="N44">
        <f t="shared" si="15"/>
        <v>8.6811830399670116E-4</v>
      </c>
    </row>
    <row r="45" spans="1:15" x14ac:dyDescent="0.3">
      <c r="F45" t="s">
        <v>21</v>
      </c>
      <c r="G45">
        <f t="shared" si="13"/>
        <v>1.1711072014419351E-8</v>
      </c>
      <c r="H45">
        <f t="shared" si="13"/>
        <v>1.6E-2</v>
      </c>
      <c r="I45">
        <f t="shared" si="10"/>
        <v>6806523.98805629</v>
      </c>
      <c r="J45">
        <v>650000000</v>
      </c>
      <c r="K45">
        <f t="shared" si="11"/>
        <v>95.49661488603931</v>
      </c>
      <c r="L45">
        <f t="shared" si="12"/>
        <v>1.8495989097979048E-3</v>
      </c>
      <c r="M45">
        <f t="shared" si="14"/>
        <v>3.911297259079495E-3</v>
      </c>
      <c r="N45">
        <f t="shared" si="15"/>
        <v>1.0100702171247028E-3</v>
      </c>
    </row>
    <row r="46" spans="1:15" x14ac:dyDescent="0.3">
      <c r="A46" s="2" t="s">
        <v>22</v>
      </c>
      <c r="B46" s="2" t="s">
        <v>23</v>
      </c>
      <c r="F46" t="s">
        <v>21</v>
      </c>
      <c r="G46">
        <f t="shared" si="13"/>
        <v>1.1711072014419351E-8</v>
      </c>
      <c r="H46">
        <f>H45</f>
        <v>1.6E-2</v>
      </c>
      <c r="I46">
        <f t="shared" si="10"/>
        <v>5557720.3398511503</v>
      </c>
      <c r="J46">
        <v>650000000</v>
      </c>
      <c r="K46">
        <f t="shared" si="11"/>
        <v>116.95442740060732</v>
      </c>
      <c r="L46">
        <f t="shared" si="12"/>
        <v>1.5102500923508558E-3</v>
      </c>
      <c r="M46">
        <f t="shared" si="14"/>
        <v>3.9778029434236212E-3</v>
      </c>
      <c r="N46">
        <f t="shared" si="15"/>
        <v>1.1530993384855992E-3</v>
      </c>
    </row>
    <row r="47" spans="1:15" x14ac:dyDescent="0.3">
      <c r="A47">
        <v>1</v>
      </c>
      <c r="B47">
        <v>5.0000000000000001E-3</v>
      </c>
      <c r="F47" t="s">
        <v>21</v>
      </c>
      <c r="G47">
        <f>(PI()*((D44^4)-((D44-2*E44)^4)))/64</f>
        <v>2.3309832091472876E-8</v>
      </c>
      <c r="H47">
        <f>D44/2</f>
        <v>0.02</v>
      </c>
      <c r="I47">
        <f t="shared" si="10"/>
        <v>2802045.4340335377</v>
      </c>
      <c r="J47">
        <v>650000000</v>
      </c>
      <c r="K47">
        <f t="shared" si="11"/>
        <v>231.9733977561979</v>
      </c>
      <c r="L47">
        <f t="shared" si="12"/>
        <v>6.0914031174642131E-4</v>
      </c>
      <c r="M47">
        <f t="shared" si="14"/>
        <v>4.031264508147463E-3</v>
      </c>
      <c r="N47">
        <f t="shared" si="15"/>
        <v>1.2958026625991411E-3</v>
      </c>
    </row>
    <row r="48" spans="1:15" x14ac:dyDescent="0.3">
      <c r="A48">
        <v>2</v>
      </c>
      <c r="B48">
        <v>3.0000000000000001E-3</v>
      </c>
      <c r="F48" t="s">
        <v>21</v>
      </c>
      <c r="G48">
        <f t="shared" si="13"/>
        <v>2.3309832091472876E-8</v>
      </c>
      <c r="H48">
        <f>H47</f>
        <v>0.02</v>
      </c>
      <c r="I48">
        <f t="shared" si="10"/>
        <v>2207975.6670073862</v>
      </c>
      <c r="J48">
        <v>650000000</v>
      </c>
      <c r="K48">
        <f t="shared" si="11"/>
        <v>294.38730223009543</v>
      </c>
      <c r="L48">
        <f t="shared" si="12"/>
        <v>4.7999471021899703E-4</v>
      </c>
      <c r="M48">
        <f t="shared" si="14"/>
        <v>4.0523549144206973E-3</v>
      </c>
      <c r="N48">
        <f t="shared" si="15"/>
        <v>1.4361082865422335E-3</v>
      </c>
    </row>
    <row r="49" spans="1:14" x14ac:dyDescent="0.3">
      <c r="F49" t="s">
        <v>21</v>
      </c>
      <c r="G49">
        <f t="shared" si="13"/>
        <v>2.3309832091472876E-8</v>
      </c>
      <c r="H49">
        <f t="shared" si="13"/>
        <v>0.02</v>
      </c>
      <c r="I49">
        <f t="shared" si="10"/>
        <v>1704285.5574464931</v>
      </c>
      <c r="J49">
        <v>650000000</v>
      </c>
      <c r="K49">
        <f t="shared" si="11"/>
        <v>381.39148522380594</v>
      </c>
      <c r="L49">
        <f t="shared" si="12"/>
        <v>3.7049686031445504E-4</v>
      </c>
      <c r="M49">
        <f t="shared" si="14"/>
        <v>4.06849898604098E-3</v>
      </c>
      <c r="N49">
        <f t="shared" si="15"/>
        <v>1.5729475841830844E-3</v>
      </c>
    </row>
    <row r="50" spans="1:14" x14ac:dyDescent="0.3">
      <c r="F50" t="s">
        <v>21</v>
      </c>
      <c r="G50">
        <f t="shared" si="13"/>
        <v>2.3309832091472876E-8</v>
      </c>
      <c r="H50">
        <f t="shared" si="13"/>
        <v>0.02</v>
      </c>
      <c r="I50">
        <f t="shared" si="10"/>
        <v>1285448.84503742</v>
      </c>
      <c r="J50">
        <v>650000000</v>
      </c>
      <c r="K50">
        <f t="shared" si="11"/>
        <v>505.65995100417877</v>
      </c>
      <c r="L50">
        <f t="shared" si="12"/>
        <v>2.7944540109509135E-4</v>
      </c>
      <c r="M50">
        <f t="shared" si="14"/>
        <v>4.0805168337500518E-3</v>
      </c>
      <c r="N50">
        <f t="shared" si="15"/>
        <v>1.7053077608407E-3</v>
      </c>
    </row>
    <row r="51" spans="1:14" x14ac:dyDescent="0.3">
      <c r="A51" s="2" t="s">
        <v>25</v>
      </c>
      <c r="B51" s="2" t="s">
        <v>26</v>
      </c>
      <c r="C51" s="2" t="s">
        <v>27</v>
      </c>
      <c r="F51" t="s">
        <v>21</v>
      </c>
      <c r="G51">
        <f t="shared" si="13"/>
        <v>2.3309832091472876E-8</v>
      </c>
      <c r="H51">
        <f t="shared" si="13"/>
        <v>0.02</v>
      </c>
      <c r="I51">
        <f t="shared" si="10"/>
        <v>944560.07463281474</v>
      </c>
      <c r="J51">
        <v>650000000</v>
      </c>
      <c r="K51">
        <f t="shared" si="11"/>
        <v>688.15104243388532</v>
      </c>
      <c r="L51">
        <f t="shared" si="12"/>
        <v>2.0533914665930755E-4</v>
      </c>
      <c r="M51">
        <f t="shared" si="14"/>
        <v>4.0891909258879092E-3</v>
      </c>
      <c r="N51">
        <f t="shared" si="15"/>
        <v>1.8322378112957901E-3</v>
      </c>
    </row>
    <row r="52" spans="1:14" x14ac:dyDescent="0.3">
      <c r="B52" s="19">
        <v>3000000000</v>
      </c>
      <c r="C52" s="19">
        <v>230000000000</v>
      </c>
      <c r="F52" t="s">
        <v>21</v>
      </c>
      <c r="G52">
        <f>G51</f>
        <v>2.3309832091472876E-8</v>
      </c>
      <c r="H52">
        <f t="shared" ref="H52:H63" si="16">H51</f>
        <v>0.02</v>
      </c>
      <c r="I52">
        <f t="shared" si="10"/>
        <v>673682.69142292871</v>
      </c>
      <c r="J52">
        <v>650000000</v>
      </c>
      <c r="K52">
        <f t="shared" si="11"/>
        <v>964.84592564949685</v>
      </c>
      <c r="L52">
        <f t="shared" si="12"/>
        <v>1.4645275900498447E-4</v>
      </c>
      <c r="M52">
        <f t="shared" si="14"/>
        <v>4.0952386319713478E-3</v>
      </c>
      <c r="N52">
        <f t="shared" si="15"/>
        <v>1.9528519269704746E-3</v>
      </c>
    </row>
    <row r="53" spans="1:14" x14ac:dyDescent="0.3">
      <c r="B53" s="19">
        <v>3000000000</v>
      </c>
      <c r="C53" s="19">
        <v>230000000000</v>
      </c>
      <c r="F53" t="s">
        <v>21</v>
      </c>
      <c r="G53">
        <f t="shared" ref="G53:G63" si="17">G52</f>
        <v>2.3309832091472876E-8</v>
      </c>
      <c r="H53">
        <f t="shared" si="16"/>
        <v>0.02</v>
      </c>
      <c r="I53">
        <f t="shared" ref="I53:I63" si="18">(E21*H53/G53)</f>
        <v>464204.79038792953</v>
      </c>
      <c r="J53">
        <v>650000000</v>
      </c>
      <c r="K53">
        <f t="shared" si="11"/>
        <v>1400.2440592153389</v>
      </c>
      <c r="L53">
        <f t="shared" ref="L53:L63" si="19">E21/ (C71*G53)</f>
        <v>1.0091408486694121E-4</v>
      </c>
      <c r="M53">
        <f t="shared" si="14"/>
        <v>4.0992928243415794E-3</v>
      </c>
      <c r="N53">
        <f t="shared" si="15"/>
        <v>2.0663309887833407E-3</v>
      </c>
    </row>
    <row r="54" spans="1:14" x14ac:dyDescent="0.3">
      <c r="B54" s="19">
        <v>3000000000</v>
      </c>
      <c r="C54" s="19">
        <v>230000000000</v>
      </c>
      <c r="F54" t="s">
        <v>21</v>
      </c>
      <c r="G54">
        <f t="shared" si="17"/>
        <v>2.3309832091472876E-8</v>
      </c>
      <c r="H54">
        <f t="shared" si="16"/>
        <v>0.02</v>
      </c>
      <c r="I54">
        <f t="shared" si="18"/>
        <v>307191.83526935248</v>
      </c>
      <c r="J54">
        <v>650000000</v>
      </c>
      <c r="K54">
        <f t="shared" si="11"/>
        <v>2115.9416539507502</v>
      </c>
      <c r="L54">
        <f t="shared" si="19"/>
        <v>6.6780833754207053E-5</v>
      </c>
      <c r="M54">
        <f t="shared" si="14"/>
        <v>4.1018905786207706E-3</v>
      </c>
      <c r="N54">
        <f t="shared" si="15"/>
        <v>2.1719228277960745E-3</v>
      </c>
    </row>
    <row r="55" spans="1:14" x14ac:dyDescent="0.3">
      <c r="B55" s="19">
        <v>3000000000</v>
      </c>
      <c r="C55" s="19">
        <v>230000000000</v>
      </c>
      <c r="F55" t="s">
        <v>21</v>
      </c>
      <c r="G55">
        <f t="shared" si="17"/>
        <v>2.3309832091472876E-8</v>
      </c>
      <c r="H55">
        <f t="shared" si="16"/>
        <v>0.02</v>
      </c>
      <c r="I55">
        <f t="shared" si="18"/>
        <v>193726.04926021438</v>
      </c>
      <c r="J55">
        <v>650000000</v>
      </c>
      <c r="K55">
        <f t="shared" si="11"/>
        <v>3355.2534751117273</v>
      </c>
      <c r="L55">
        <f t="shared" si="19"/>
        <v>4.211435853482921E-5</v>
      </c>
      <c r="M55">
        <f t="shared" si="14"/>
        <v>4.1034694891858943E-3</v>
      </c>
      <c r="N55">
        <f t="shared" si="15"/>
        <v>2.2689418520566284E-3</v>
      </c>
    </row>
    <row r="56" spans="1:14" x14ac:dyDescent="0.3">
      <c r="B56" s="19">
        <v>3000000000</v>
      </c>
      <c r="C56" s="19">
        <v>230000000000</v>
      </c>
      <c r="F56" t="s">
        <v>21</v>
      </c>
      <c r="G56">
        <f t="shared" si="17"/>
        <v>2.3309832091472876E-8</v>
      </c>
      <c r="H56">
        <f t="shared" si="16"/>
        <v>0.02</v>
      </c>
      <c r="I56">
        <f t="shared" si="18"/>
        <v>115222.60518481031</v>
      </c>
      <c r="J56">
        <v>650000000</v>
      </c>
      <c r="K56">
        <f t="shared" si="11"/>
        <v>5641.2541528412594</v>
      </c>
      <c r="L56">
        <f t="shared" si="19"/>
        <v>2.5048392431480501E-5</v>
      </c>
      <c r="M56">
        <f t="shared" si="14"/>
        <v>4.1043706663002298E-3</v>
      </c>
      <c r="N56">
        <f t="shared" si="15"/>
        <v>2.3567685468443601E-3</v>
      </c>
    </row>
    <row r="57" spans="1:14" x14ac:dyDescent="0.3">
      <c r="B57" s="19">
        <v>3000000000</v>
      </c>
      <c r="C57" s="19">
        <v>230000000000</v>
      </c>
      <c r="E57" s="2"/>
      <c r="F57" t="s">
        <v>21</v>
      </c>
      <c r="G57">
        <f t="shared" si="17"/>
        <v>2.3309832091472876E-8</v>
      </c>
      <c r="H57">
        <f t="shared" si="16"/>
        <v>0.02</v>
      </c>
      <c r="I57">
        <f t="shared" si="18"/>
        <v>63712.533585485791</v>
      </c>
      <c r="J57">
        <v>650000000</v>
      </c>
      <c r="K57">
        <f t="shared" si="11"/>
        <v>10202.074276764832</v>
      </c>
      <c r="L57">
        <f t="shared" si="19"/>
        <v>1.3850550779453434E-5</v>
      </c>
      <c r="M57">
        <f t="shared" si="14"/>
        <v>4.1048471260727963E-3</v>
      </c>
      <c r="N57">
        <f t="shared" si="15"/>
        <v>2.434849187486615E-3</v>
      </c>
    </row>
    <row r="58" spans="1:14" x14ac:dyDescent="0.3">
      <c r="B58" s="19">
        <v>3000000000</v>
      </c>
      <c r="C58" s="19">
        <v>230000000000</v>
      </c>
      <c r="F58" t="s">
        <v>21</v>
      </c>
      <c r="G58">
        <f t="shared" si="17"/>
        <v>2.3309832091472876E-8</v>
      </c>
      <c r="H58">
        <f t="shared" si="16"/>
        <v>0.02</v>
      </c>
      <c r="I58">
        <f t="shared" si="18"/>
        <v>32081.545549766674</v>
      </c>
      <c r="J58">
        <v>650000000</v>
      </c>
      <c r="K58">
        <f t="shared" si="11"/>
        <v>20260.869258673461</v>
      </c>
      <c r="L58">
        <f t="shared" si="19"/>
        <v>6.9742490325579729E-6</v>
      </c>
      <c r="M58">
        <f t="shared" si="14"/>
        <v>4.1050760415147968E-3</v>
      </c>
      <c r="N58">
        <f t="shared" si="15"/>
        <v>2.5026959692827982E-3</v>
      </c>
    </row>
    <row r="59" spans="1:14" x14ac:dyDescent="0.3">
      <c r="B59" s="19">
        <v>3000000000</v>
      </c>
      <c r="C59" s="19">
        <v>230000000000</v>
      </c>
      <c r="F59" t="s">
        <v>21</v>
      </c>
      <c r="G59">
        <f t="shared" si="17"/>
        <v>2.3309832091472876E-8</v>
      </c>
      <c r="H59">
        <f t="shared" si="16"/>
        <v>0.02</v>
      </c>
      <c r="I59">
        <f t="shared" si="18"/>
        <v>14253.06105579103</v>
      </c>
      <c r="J59">
        <v>650000000</v>
      </c>
      <c r="K59">
        <f t="shared" si="11"/>
        <v>45604.238798647712</v>
      </c>
      <c r="L59">
        <f>E27/ (C77*G59)</f>
        <v>3.0984915338676156E-6</v>
      </c>
      <c r="M59">
        <f t="shared" si="14"/>
        <v>4.105173203949368E-3</v>
      </c>
      <c r="N59">
        <f t="shared" si="15"/>
        <v>2.5598875924911103E-3</v>
      </c>
    </row>
    <row r="60" spans="1:14" x14ac:dyDescent="0.3">
      <c r="B60" s="19">
        <v>3000000000</v>
      </c>
      <c r="C60" s="19">
        <v>230000000000</v>
      </c>
      <c r="F60" t="s">
        <v>21</v>
      </c>
      <c r="G60">
        <f t="shared" si="17"/>
        <v>2.3309832091472876E-8</v>
      </c>
      <c r="H60">
        <f t="shared" si="16"/>
        <v>0.02</v>
      </c>
      <c r="I60">
        <f t="shared" si="18"/>
        <v>5303.731897975601</v>
      </c>
      <c r="J60">
        <v>650000000</v>
      </c>
      <c r="K60">
        <f t="shared" si="11"/>
        <v>122555.21442328197</v>
      </c>
      <c r="L60">
        <f t="shared" si="19"/>
        <v>1.1529851952120871E-6</v>
      </c>
      <c r="M60">
        <f t="shared" si="14"/>
        <v>4.105208061266471E-3</v>
      </c>
      <c r="N60">
        <f t="shared" si="15"/>
        <v>2.6060702389825042E-3</v>
      </c>
    </row>
    <row r="61" spans="1:14" x14ac:dyDescent="0.3">
      <c r="B61" s="19">
        <v>3000000000</v>
      </c>
      <c r="C61" s="19">
        <v>230000000000</v>
      </c>
      <c r="F61" t="s">
        <v>21</v>
      </c>
      <c r="G61">
        <f t="shared" si="17"/>
        <v>2.3309832091472876E-8</v>
      </c>
      <c r="H61">
        <f t="shared" si="16"/>
        <v>0.02</v>
      </c>
      <c r="I61">
        <f t="shared" si="18"/>
        <v>1501.5620817279078</v>
      </c>
      <c r="J61">
        <v>650000000</v>
      </c>
      <c r="K61">
        <f t="shared" si="11"/>
        <v>432882.53473477362</v>
      </c>
      <c r="L61">
        <f t="shared" si="19"/>
        <v>3.2642653950606691E-7</v>
      </c>
      <c r="M61">
        <f t="shared" si="14"/>
        <v>4.1052178600071961E-3</v>
      </c>
      <c r="N61">
        <f t="shared" si="15"/>
        <v>2.6409587749304229E-3</v>
      </c>
    </row>
    <row r="62" spans="1:14" x14ac:dyDescent="0.3">
      <c r="B62" s="19">
        <v>3000000000</v>
      </c>
      <c r="C62" s="19">
        <v>230000000000</v>
      </c>
      <c r="F62" t="s">
        <v>21</v>
      </c>
      <c r="G62">
        <f t="shared" si="17"/>
        <v>2.3309832091472876E-8</v>
      </c>
      <c r="H62">
        <f t="shared" si="16"/>
        <v>0.02</v>
      </c>
      <c r="I62">
        <f t="shared" si="18"/>
        <v>260.77751122985063</v>
      </c>
      <c r="J62">
        <v>650000000</v>
      </c>
      <c r="K62">
        <f t="shared" si="11"/>
        <v>2492546.2204717747</v>
      </c>
      <c r="L62">
        <f t="shared" si="19"/>
        <v>5.6690763310837092E-8</v>
      </c>
      <c r="M62">
        <f t="shared" si="14"/>
        <v>4.1052197190062732E-3</v>
      </c>
      <c r="N62">
        <f t="shared" si="15"/>
        <v>2.6643380004091198E-3</v>
      </c>
    </row>
    <row r="63" spans="1:14" x14ac:dyDescent="0.3">
      <c r="B63" s="19">
        <v>3000000000</v>
      </c>
      <c r="C63" s="19">
        <v>230000000000</v>
      </c>
      <c r="F63" t="s">
        <v>21</v>
      </c>
      <c r="G63">
        <f t="shared" si="17"/>
        <v>2.3309832091472876E-8</v>
      </c>
      <c r="H63">
        <f t="shared" si="16"/>
        <v>0.02</v>
      </c>
      <c r="I63">
        <f t="shared" si="18"/>
        <v>13.066589188835058</v>
      </c>
      <c r="J63">
        <v>650000000</v>
      </c>
      <c r="K63">
        <f t="shared" si="11"/>
        <v>49745192.919618398</v>
      </c>
      <c r="L63">
        <f t="shared" si="19"/>
        <v>2.8405628671380565E-9</v>
      </c>
      <c r="M63">
        <f t="shared" si="14"/>
        <v>4.1052198809323837E-3</v>
      </c>
      <c r="N63">
        <f t="shared" si="15"/>
        <v>2.6760637604811262E-3</v>
      </c>
    </row>
    <row r="64" spans="1:14" x14ac:dyDescent="0.3">
      <c r="B64" s="19">
        <v>3000000000</v>
      </c>
      <c r="C64" s="19">
        <v>230000000000</v>
      </c>
    </row>
    <row r="65" spans="2:3" x14ac:dyDescent="0.3">
      <c r="B65" s="19">
        <v>3000000000</v>
      </c>
      <c r="C65" s="19">
        <v>230000000000</v>
      </c>
    </row>
    <row r="66" spans="2:3" x14ac:dyDescent="0.3">
      <c r="B66" s="19">
        <v>3000000000</v>
      </c>
      <c r="C66" s="19">
        <v>230000000000</v>
      </c>
    </row>
    <row r="67" spans="2:3" x14ac:dyDescent="0.3">
      <c r="B67" s="19">
        <v>3000000000</v>
      </c>
      <c r="C67" s="19">
        <v>230000000000</v>
      </c>
    </row>
    <row r="68" spans="2:3" x14ac:dyDescent="0.3">
      <c r="B68" s="19">
        <v>3000000000</v>
      </c>
      <c r="C68" s="19">
        <v>230000000000</v>
      </c>
    </row>
    <row r="69" spans="2:3" x14ac:dyDescent="0.3">
      <c r="B69" s="19">
        <v>3000000000</v>
      </c>
      <c r="C69" s="19">
        <v>230000000000</v>
      </c>
    </row>
    <row r="70" spans="2:3" x14ac:dyDescent="0.3">
      <c r="B70" s="19">
        <v>3000000000</v>
      </c>
      <c r="C70" s="19">
        <v>230000000000</v>
      </c>
    </row>
    <row r="71" spans="2:3" x14ac:dyDescent="0.3">
      <c r="B71" s="19">
        <v>3000000000</v>
      </c>
      <c r="C71" s="19">
        <v>230000000000</v>
      </c>
    </row>
    <row r="72" spans="2:3" x14ac:dyDescent="0.3">
      <c r="B72" s="19">
        <v>3000000000</v>
      </c>
      <c r="C72" s="19">
        <v>230000000000</v>
      </c>
    </row>
    <row r="73" spans="2:3" x14ac:dyDescent="0.3">
      <c r="B73" s="19">
        <v>3000000000</v>
      </c>
      <c r="C73" s="19">
        <v>230000000000</v>
      </c>
    </row>
    <row r="74" spans="2:3" x14ac:dyDescent="0.3">
      <c r="B74" s="19">
        <v>3000000000</v>
      </c>
      <c r="C74" s="19">
        <v>230000000000</v>
      </c>
    </row>
    <row r="75" spans="2:3" x14ac:dyDescent="0.3">
      <c r="B75" s="19">
        <v>3000000000</v>
      </c>
      <c r="C75" s="19">
        <v>230000000000</v>
      </c>
    </row>
    <row r="76" spans="2:3" x14ac:dyDescent="0.3">
      <c r="B76" s="19">
        <v>3000000000</v>
      </c>
      <c r="C76" s="19">
        <v>230000000000</v>
      </c>
    </row>
    <row r="77" spans="2:3" x14ac:dyDescent="0.3">
      <c r="B77" s="19">
        <v>3000000000</v>
      </c>
      <c r="C77" s="19">
        <v>230000000000</v>
      </c>
    </row>
    <row r="78" spans="2:3" x14ac:dyDescent="0.3">
      <c r="B78" s="19">
        <v>3000000000</v>
      </c>
      <c r="C78" s="19">
        <v>230000000000</v>
      </c>
    </row>
    <row r="79" spans="2:3" x14ac:dyDescent="0.3">
      <c r="B79" s="19">
        <v>3000000000</v>
      </c>
      <c r="C79" s="19">
        <v>230000000000</v>
      </c>
    </row>
    <row r="80" spans="2:3" x14ac:dyDescent="0.3">
      <c r="B80" s="19">
        <v>3000000000</v>
      </c>
      <c r="C80" s="19">
        <v>230000000000</v>
      </c>
    </row>
    <row r="81" spans="2:3" x14ac:dyDescent="0.3">
      <c r="B81" s="19">
        <v>3000000000</v>
      </c>
      <c r="C81" s="19">
        <v>230000000000</v>
      </c>
    </row>
    <row r="82" spans="2:3" x14ac:dyDescent="0.3">
      <c r="B82" s="19">
        <v>3000000000</v>
      </c>
      <c r="C82" s="19">
        <v>230000000000</v>
      </c>
    </row>
    <row r="83" spans="2:3" x14ac:dyDescent="0.3">
      <c r="B83" s="19">
        <v>3000000000</v>
      </c>
      <c r="C83" s="19">
        <v>230000000000</v>
      </c>
    </row>
    <row r="84" spans="2:3" x14ac:dyDescent="0.3">
      <c r="B84" s="19">
        <v>3000000000</v>
      </c>
      <c r="C84" s="19">
        <v>230000000000</v>
      </c>
    </row>
    <row r="85" spans="2:3" x14ac:dyDescent="0.3">
      <c r="B85" s="19">
        <v>3000000000</v>
      </c>
      <c r="C85" s="19">
        <v>230000000000</v>
      </c>
    </row>
    <row r="86" spans="2:3" x14ac:dyDescent="0.3">
      <c r="B86" s="19">
        <v>3000000000</v>
      </c>
      <c r="C86" s="19">
        <v>230000000000</v>
      </c>
    </row>
  </sheetData>
  <conditionalFormatting sqref="K2:K31">
    <cfRule type="cellIs" dxfId="1" priority="2" operator="lessThan">
      <formula>1</formula>
    </cfRule>
  </conditionalFormatting>
  <conditionalFormatting sqref="K34:K63">
    <cfRule type="cellIs" dxfId="0" priority="1" operator="lessThan">
      <formula>1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A6" sqref="A6"/>
    </sheetView>
  </sheetViews>
  <sheetFormatPr defaultRowHeight="14.4" x14ac:dyDescent="0.3"/>
  <cols>
    <col min="1" max="1" width="19.77734375" customWidth="1"/>
    <col min="2" max="2" width="12.5546875" customWidth="1"/>
    <col min="3" max="3" width="12.109375" customWidth="1"/>
  </cols>
  <sheetData>
    <row r="1" spans="1:3" x14ac:dyDescent="0.3">
      <c r="A1" s="2" t="s">
        <v>30</v>
      </c>
      <c r="B1" s="2" t="s">
        <v>33</v>
      </c>
      <c r="C1" s="2" t="s">
        <v>34</v>
      </c>
    </row>
    <row r="2" spans="1:3" x14ac:dyDescent="0.3">
      <c r="A2" t="s">
        <v>31</v>
      </c>
      <c r="B2" t="s">
        <v>32</v>
      </c>
      <c r="C2">
        <v>0.04</v>
      </c>
    </row>
    <row r="3" spans="1:3" x14ac:dyDescent="0.3">
      <c r="A3" t="s">
        <v>35</v>
      </c>
      <c r="B3">
        <v>0.01</v>
      </c>
      <c r="C3">
        <v>0.01</v>
      </c>
    </row>
    <row r="4" spans="1:3" x14ac:dyDescent="0.3">
      <c r="A4" t="s">
        <v>36</v>
      </c>
      <c r="B4">
        <v>3.2000000000000001E-2</v>
      </c>
      <c r="C4" t="s">
        <v>32</v>
      </c>
    </row>
    <row r="5" spans="1:3" x14ac:dyDescent="0.3">
      <c r="A5" t="s">
        <v>37</v>
      </c>
      <c r="B5">
        <v>0.05</v>
      </c>
      <c r="C5" t="s">
        <v>32</v>
      </c>
    </row>
    <row r="6" spans="1:3" x14ac:dyDescent="0.3">
      <c r="A6" t="s">
        <v>38</v>
      </c>
      <c r="B6">
        <v>3</v>
      </c>
      <c r="C6">
        <v>3</v>
      </c>
    </row>
    <row r="7" spans="1:3" x14ac:dyDescent="0.3">
      <c r="A7" t="s">
        <v>40</v>
      </c>
      <c r="B7" t="s">
        <v>39</v>
      </c>
      <c r="C7" t="s">
        <v>39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Calculos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Iasmim Dantas</cp:lastModifiedBy>
  <dcterms:created xsi:type="dcterms:W3CDTF">2026-05-12T13:57:07Z</dcterms:created>
  <dcterms:modified xsi:type="dcterms:W3CDTF">2026-05-17T02:29:18Z</dcterms:modified>
</cp:coreProperties>
</file>