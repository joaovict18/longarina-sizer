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5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589ce12b7c1892/Documentos/"/>
    </mc:Choice>
  </mc:AlternateContent>
  <xr:revisionPtr revIDLastSave="284" documentId="8_{8D794B9B-8636-411A-A71A-7C277423978C}" xr6:coauthVersionLast="47" xr6:coauthVersionMax="47" xr10:uidLastSave="{3159E612-1A3F-45DF-A2C2-8D979C1973CC}"/>
  <bookViews>
    <workbookView xWindow="-120" yWindow="-120" windowWidth="20730" windowHeight="11040" firstSheet="3" activeTab="4" xr2:uid="{2A93E757-A569-4A2E-B484-7915B423338A}"/>
  </bookViews>
  <sheets>
    <sheet name="Distrib. ASA INCD. CRUZEIRO" sheetId="1" r:id="rId1"/>
    <sheet name="Distrib. ASA INCD. ESTOL" sheetId="4" r:id="rId2"/>
    <sheet name="COMP. ASA CRUZ E ESTOL superior" sheetId="6" r:id="rId3"/>
    <sheet name="COMP. ASA CRUZ E ESTOL inferior" sheetId="5" r:id="rId4"/>
    <sheet name="comparativo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6" l="1"/>
  <c r="F104" i="6"/>
  <c r="E104" i="6"/>
  <c r="G103" i="6"/>
  <c r="F103" i="6"/>
  <c r="E103" i="6"/>
  <c r="G102" i="6"/>
  <c r="F102" i="6"/>
  <c r="E102" i="6"/>
  <c r="G101" i="6"/>
  <c r="F101" i="6"/>
  <c r="E101" i="6"/>
  <c r="G100" i="6"/>
  <c r="F100" i="6"/>
  <c r="E100" i="6"/>
  <c r="G99" i="6"/>
  <c r="F99" i="6"/>
  <c r="E99" i="6"/>
  <c r="G98" i="6"/>
  <c r="F98" i="6"/>
  <c r="E98" i="6"/>
  <c r="G97" i="6"/>
  <c r="F97" i="6"/>
  <c r="E97" i="6"/>
  <c r="G96" i="6"/>
  <c r="F96" i="6"/>
  <c r="E96" i="6"/>
  <c r="G95" i="6"/>
  <c r="F95" i="6"/>
  <c r="E95" i="6"/>
  <c r="G94" i="6"/>
  <c r="F94" i="6"/>
  <c r="E94" i="6"/>
  <c r="G93" i="6"/>
  <c r="F93" i="6"/>
  <c r="E93" i="6"/>
  <c r="G92" i="6"/>
  <c r="F92" i="6"/>
  <c r="E92" i="6"/>
  <c r="G91" i="6"/>
  <c r="F91" i="6"/>
  <c r="E91" i="6"/>
  <c r="G90" i="6"/>
  <c r="F90" i="6"/>
  <c r="E90" i="6"/>
  <c r="G89" i="6"/>
  <c r="F89" i="6"/>
  <c r="E89" i="6"/>
  <c r="G88" i="6"/>
  <c r="F88" i="6"/>
  <c r="E88" i="6"/>
  <c r="G87" i="6"/>
  <c r="F87" i="6"/>
  <c r="E87" i="6"/>
  <c r="G86" i="6"/>
  <c r="F86" i="6"/>
  <c r="E86" i="6"/>
  <c r="G85" i="6"/>
  <c r="F85" i="6"/>
  <c r="E85" i="6"/>
  <c r="G84" i="6"/>
  <c r="F84" i="6"/>
  <c r="E84" i="6"/>
  <c r="G83" i="6"/>
  <c r="F83" i="6"/>
  <c r="E83" i="6"/>
  <c r="G82" i="6"/>
  <c r="F82" i="6"/>
  <c r="E82" i="6"/>
  <c r="G81" i="6"/>
  <c r="F81" i="6"/>
  <c r="E81" i="6"/>
  <c r="G80" i="6"/>
  <c r="F80" i="6"/>
  <c r="E80" i="6"/>
  <c r="G79" i="6"/>
  <c r="F79" i="6"/>
  <c r="E79" i="6"/>
  <c r="G78" i="6"/>
  <c r="F78" i="6"/>
  <c r="E78" i="6"/>
  <c r="G77" i="6"/>
  <c r="F77" i="6"/>
  <c r="E77" i="6"/>
  <c r="G76" i="6"/>
  <c r="F76" i="6"/>
  <c r="E76" i="6"/>
  <c r="G75" i="6"/>
  <c r="F75" i="6"/>
  <c r="E75" i="6"/>
  <c r="G74" i="6"/>
  <c r="F74" i="6"/>
  <c r="E74" i="6"/>
  <c r="G73" i="6"/>
  <c r="F73" i="6"/>
  <c r="E73" i="6"/>
  <c r="G72" i="6"/>
  <c r="F72" i="6"/>
  <c r="E72" i="6"/>
  <c r="G71" i="6"/>
  <c r="F71" i="6"/>
  <c r="E71" i="6"/>
  <c r="G70" i="6"/>
  <c r="F70" i="6"/>
  <c r="E70" i="6"/>
  <c r="G69" i="6"/>
  <c r="F69" i="6"/>
  <c r="E69" i="6"/>
  <c r="G68" i="6"/>
  <c r="F68" i="6"/>
  <c r="E68" i="6"/>
  <c r="G67" i="6"/>
  <c r="F67" i="6"/>
  <c r="E67" i="6"/>
  <c r="G66" i="6"/>
  <c r="F66" i="6"/>
  <c r="E66" i="6"/>
  <c r="G65" i="6"/>
  <c r="F65" i="6"/>
  <c r="E65" i="6"/>
  <c r="G64" i="6"/>
  <c r="F64" i="6"/>
  <c r="E64" i="6"/>
  <c r="G63" i="6"/>
  <c r="F63" i="6"/>
  <c r="E63" i="6"/>
  <c r="G62" i="6"/>
  <c r="F62" i="6"/>
  <c r="E62" i="6"/>
  <c r="G61" i="6"/>
  <c r="F61" i="6"/>
  <c r="E61" i="6"/>
  <c r="G60" i="6"/>
  <c r="F60" i="6"/>
  <c r="E60" i="6"/>
  <c r="G59" i="6"/>
  <c r="F59" i="6"/>
  <c r="E59" i="6"/>
  <c r="G58" i="6"/>
  <c r="F58" i="6"/>
  <c r="E58" i="6"/>
  <c r="G57" i="6"/>
  <c r="F57" i="6"/>
  <c r="E57" i="6"/>
  <c r="G56" i="6"/>
  <c r="F56" i="6"/>
  <c r="E56" i="6"/>
  <c r="G55" i="6"/>
  <c r="F55" i="6"/>
  <c r="E55" i="6"/>
  <c r="G54" i="6"/>
  <c r="F54" i="6"/>
  <c r="E54" i="6"/>
  <c r="G53" i="6"/>
  <c r="F53" i="6"/>
  <c r="E53" i="6"/>
  <c r="G52" i="6"/>
  <c r="F52" i="6"/>
  <c r="E52" i="6"/>
  <c r="G51" i="6"/>
  <c r="F51" i="6"/>
  <c r="E51" i="6"/>
  <c r="G50" i="6"/>
  <c r="F50" i="6"/>
  <c r="E50" i="6"/>
  <c r="G49" i="6"/>
  <c r="F49" i="6"/>
  <c r="E49" i="6"/>
  <c r="G48" i="6"/>
  <c r="F48" i="6"/>
  <c r="E48" i="6"/>
  <c r="G47" i="6"/>
  <c r="F47" i="6"/>
  <c r="E47" i="6"/>
  <c r="G46" i="6"/>
  <c r="F46" i="6"/>
  <c r="E46" i="6"/>
  <c r="G45" i="6"/>
  <c r="F45" i="6"/>
  <c r="E45" i="6"/>
  <c r="G44" i="6"/>
  <c r="F44" i="6"/>
  <c r="E44" i="6"/>
  <c r="G43" i="6"/>
  <c r="F43" i="6"/>
  <c r="E43" i="6"/>
  <c r="G42" i="6"/>
  <c r="F42" i="6"/>
  <c r="E42" i="6"/>
  <c r="G41" i="6"/>
  <c r="F41" i="6"/>
  <c r="E41" i="6"/>
  <c r="G40" i="6"/>
  <c r="F40" i="6"/>
  <c r="E40" i="6"/>
  <c r="G39" i="6"/>
  <c r="F39" i="6"/>
  <c r="E39" i="6"/>
  <c r="G38" i="6"/>
  <c r="F38" i="6"/>
  <c r="E38" i="6"/>
  <c r="G37" i="6"/>
  <c r="F37" i="6"/>
  <c r="E37" i="6"/>
  <c r="G36" i="6"/>
  <c r="F36" i="6"/>
  <c r="E36" i="6"/>
  <c r="G35" i="6"/>
  <c r="F35" i="6"/>
  <c r="E35" i="6"/>
  <c r="G34" i="6"/>
  <c r="F34" i="6"/>
  <c r="E34" i="6"/>
  <c r="G33" i="6"/>
  <c r="F33" i="6"/>
  <c r="E33" i="6"/>
  <c r="G32" i="6"/>
  <c r="F32" i="6"/>
  <c r="E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3" i="6"/>
  <c r="F23" i="6"/>
  <c r="E23" i="6"/>
  <c r="G22" i="6"/>
  <c r="F22" i="6"/>
  <c r="E22" i="6"/>
  <c r="G21" i="6"/>
  <c r="F21" i="6"/>
  <c r="E21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G13" i="6"/>
  <c r="F13" i="6"/>
  <c r="E13" i="6"/>
  <c r="G12" i="6"/>
  <c r="F12" i="6"/>
  <c r="E12" i="6"/>
  <c r="G11" i="6"/>
  <c r="F11" i="6"/>
  <c r="E11" i="6"/>
  <c r="G10" i="6"/>
  <c r="F10" i="6"/>
  <c r="E10" i="6"/>
  <c r="G9" i="6"/>
  <c r="F9" i="6"/>
  <c r="E9" i="6"/>
  <c r="G8" i="6"/>
  <c r="F8" i="6"/>
  <c r="E8" i="6"/>
  <c r="G7" i="6"/>
  <c r="F7" i="6"/>
  <c r="E7" i="6"/>
  <c r="G6" i="6"/>
  <c r="F6" i="6"/>
  <c r="E6" i="6"/>
  <c r="G5" i="6"/>
  <c r="F5" i="6"/>
  <c r="E5" i="6"/>
  <c r="F11" i="5"/>
  <c r="F12" i="5"/>
  <c r="F13" i="5"/>
  <c r="F16" i="5"/>
  <c r="F104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F6" i="5"/>
  <c r="F7" i="5"/>
  <c r="F8" i="5"/>
  <c r="F9" i="5"/>
  <c r="F10" i="5"/>
  <c r="F14" i="5"/>
  <c r="F15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G5" i="5"/>
  <c r="F5" i="5"/>
  <c r="CE3" i="4" l="1"/>
  <c r="CE4" i="4"/>
  <c r="CE5" i="4"/>
  <c r="CE6" i="4"/>
  <c r="CE7" i="4"/>
  <c r="CE8" i="4"/>
  <c r="CE9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41" i="4"/>
  <c r="CE42" i="4"/>
  <c r="CE43" i="4"/>
  <c r="CE44" i="4"/>
  <c r="CE45" i="4"/>
  <c r="CE46" i="4"/>
  <c r="CE47" i="4"/>
  <c r="CE48" i="4"/>
  <c r="CE49" i="4"/>
  <c r="CE50" i="4"/>
  <c r="CE51" i="4"/>
  <c r="CE52" i="4"/>
  <c r="CE53" i="4"/>
  <c r="CE54" i="4"/>
  <c r="CE55" i="4"/>
  <c r="CE56" i="4"/>
  <c r="CE57" i="4"/>
  <c r="CE58" i="4"/>
  <c r="CE59" i="4"/>
  <c r="CE60" i="4"/>
  <c r="CE61" i="4"/>
  <c r="CE62" i="4"/>
  <c r="CE63" i="4"/>
  <c r="CE64" i="4"/>
  <c r="CE65" i="4"/>
  <c r="CE66" i="4"/>
  <c r="CE67" i="4"/>
  <c r="CE68" i="4"/>
  <c r="CE69" i="4"/>
  <c r="CE70" i="4"/>
  <c r="CE71" i="4"/>
  <c r="CE72" i="4"/>
  <c r="CE73" i="4"/>
  <c r="CE74" i="4"/>
  <c r="CE75" i="4"/>
  <c r="CE76" i="4"/>
  <c r="CE77" i="4"/>
  <c r="CE78" i="4"/>
  <c r="CE79" i="4"/>
  <c r="CE80" i="4"/>
  <c r="CE81" i="4"/>
  <c r="CE82" i="4"/>
  <c r="CE83" i="4"/>
  <c r="CE84" i="4"/>
  <c r="CE85" i="4"/>
  <c r="CE86" i="4"/>
  <c r="CE87" i="4"/>
  <c r="CE88" i="4"/>
  <c r="CE89" i="4"/>
  <c r="CE90" i="4"/>
  <c r="CE91" i="4"/>
  <c r="CE92" i="4"/>
  <c r="CE93" i="4"/>
  <c r="CE94" i="4"/>
  <c r="CE95" i="4"/>
  <c r="CE96" i="4"/>
  <c r="CE97" i="4"/>
  <c r="CE98" i="4"/>
  <c r="CE99" i="4"/>
  <c r="CE100" i="4"/>
  <c r="CE101" i="4"/>
  <c r="CE102" i="4"/>
  <c r="CE103" i="4"/>
  <c r="CE104" i="4"/>
  <c r="CE105" i="4"/>
  <c r="CE106" i="4"/>
  <c r="CE107" i="4"/>
  <c r="CE108" i="4"/>
  <c r="CE109" i="4"/>
  <c r="CE110" i="4"/>
  <c r="CE111" i="4"/>
  <c r="CE112" i="4"/>
  <c r="CE113" i="4"/>
  <c r="CE114" i="4"/>
  <c r="CE115" i="4"/>
  <c r="CE116" i="4"/>
  <c r="CE117" i="4"/>
  <c r="CE118" i="4"/>
  <c r="CE119" i="4"/>
  <c r="CE120" i="4"/>
  <c r="CE121" i="4"/>
  <c r="CE122" i="4"/>
  <c r="CE123" i="4"/>
  <c r="CE124" i="4"/>
  <c r="CE125" i="4"/>
  <c r="CE126" i="4"/>
  <c r="CE127" i="4"/>
  <c r="CE128" i="4"/>
  <c r="CE129" i="4"/>
  <c r="CE130" i="4"/>
  <c r="CE131" i="4"/>
  <c r="CE132" i="4"/>
  <c r="CE133" i="4"/>
  <c r="CE134" i="4"/>
  <c r="CE135" i="4"/>
  <c r="CE136" i="4"/>
  <c r="CE137" i="4"/>
  <c r="CE138" i="4"/>
  <c r="CE139" i="4"/>
  <c r="CE140" i="4"/>
  <c r="CE141" i="4"/>
  <c r="CE142" i="4"/>
  <c r="CE143" i="4"/>
  <c r="CE144" i="4"/>
  <c r="CE145" i="4"/>
  <c r="CE146" i="4"/>
  <c r="CE147" i="4"/>
  <c r="CE148" i="4"/>
  <c r="CE149" i="4"/>
  <c r="CE150" i="4"/>
  <c r="CE151" i="4"/>
  <c r="CE152" i="4"/>
  <c r="CE153" i="4"/>
  <c r="CE154" i="4"/>
  <c r="CE155" i="4"/>
  <c r="CE156" i="4"/>
  <c r="CE157" i="4"/>
  <c r="CE158" i="4"/>
  <c r="CE159" i="4"/>
  <c r="CE160" i="4"/>
  <c r="CE161" i="4"/>
  <c r="CE162" i="4"/>
  <c r="CE163" i="4"/>
  <c r="CE164" i="4"/>
  <c r="CE165" i="4"/>
  <c r="CE166" i="4"/>
  <c r="CE167" i="4"/>
  <c r="CE168" i="4"/>
  <c r="CE169" i="4"/>
  <c r="CE170" i="4"/>
  <c r="CE171" i="4"/>
  <c r="CE172" i="4"/>
  <c r="CE173" i="4"/>
  <c r="CE174" i="4"/>
  <c r="CE175" i="4"/>
  <c r="CE176" i="4"/>
  <c r="CE177" i="4"/>
  <c r="CE178" i="4"/>
  <c r="CE179" i="4"/>
  <c r="CE180" i="4"/>
  <c r="CE181" i="4"/>
  <c r="CE182" i="4"/>
  <c r="CE183" i="4"/>
  <c r="CE184" i="4"/>
  <c r="CE185" i="4"/>
  <c r="CE186" i="4"/>
  <c r="CE187" i="4"/>
  <c r="CE188" i="4"/>
  <c r="CE189" i="4"/>
  <c r="CE190" i="4"/>
  <c r="CE191" i="4"/>
  <c r="CE192" i="4"/>
  <c r="CE193" i="4"/>
  <c r="CE194" i="4"/>
  <c r="CE195" i="4"/>
  <c r="CE196" i="4"/>
  <c r="CE197" i="4"/>
  <c r="CE198" i="4"/>
  <c r="CE199" i="4"/>
  <c r="CE200" i="4"/>
  <c r="CE201" i="4"/>
  <c r="CE202" i="4"/>
  <c r="CE203" i="4"/>
  <c r="CE204" i="4"/>
  <c r="CE205" i="4"/>
  <c r="CE206" i="4"/>
  <c r="CE207" i="4"/>
  <c r="CE208" i="4"/>
  <c r="CE209" i="4"/>
  <c r="CE210" i="4"/>
  <c r="CE211" i="4"/>
  <c r="CE212" i="4"/>
  <c r="CE213" i="4"/>
  <c r="CE214" i="4"/>
  <c r="CE215" i="4"/>
  <c r="CE216" i="4"/>
  <c r="CE217" i="4"/>
  <c r="CE218" i="4"/>
  <c r="CE219" i="4"/>
  <c r="CE220" i="4"/>
  <c r="CE221" i="4"/>
  <c r="CE222" i="4"/>
  <c r="CE223" i="4"/>
  <c r="CE224" i="4"/>
  <c r="CE225" i="4"/>
  <c r="CE226" i="4"/>
  <c r="CE227" i="4"/>
  <c r="CE228" i="4"/>
  <c r="CE229" i="4"/>
  <c r="CE230" i="4"/>
  <c r="CE231" i="4"/>
  <c r="CE232" i="4"/>
  <c r="CE233" i="4"/>
  <c r="CE234" i="4"/>
  <c r="CE235" i="4"/>
  <c r="CE236" i="4"/>
  <c r="CE237" i="4"/>
  <c r="CE238" i="4"/>
  <c r="CE239" i="4"/>
  <c r="CE240" i="4"/>
  <c r="CE241" i="4"/>
  <c r="CE242" i="4"/>
  <c r="CE243" i="4"/>
  <c r="CE244" i="4"/>
  <c r="CE245" i="4"/>
  <c r="CE246" i="4"/>
  <c r="CE247" i="4"/>
  <c r="CE248" i="4"/>
  <c r="CE249" i="4"/>
  <c r="CE250" i="4"/>
  <c r="CE251" i="4"/>
  <c r="CE252" i="4"/>
  <c r="CE253" i="4"/>
  <c r="CE254" i="4"/>
  <c r="CE255" i="4"/>
  <c r="CE256" i="4"/>
  <c r="CE257" i="4"/>
  <c r="CE258" i="4"/>
  <c r="CE259" i="4"/>
  <c r="CE260" i="4"/>
  <c r="CE261" i="4"/>
  <c r="CE262" i="4"/>
  <c r="CE263" i="4"/>
  <c r="CE264" i="4"/>
  <c r="CE265" i="4"/>
  <c r="CE266" i="4"/>
  <c r="CE267" i="4"/>
  <c r="CE268" i="4"/>
  <c r="CE269" i="4"/>
  <c r="CE270" i="4"/>
  <c r="CE271" i="4"/>
  <c r="CE272" i="4"/>
  <c r="CE273" i="4"/>
  <c r="CE274" i="4"/>
  <c r="CE275" i="4"/>
  <c r="CE276" i="4"/>
  <c r="CE277" i="4"/>
  <c r="CE278" i="4"/>
  <c r="CE279" i="4"/>
  <c r="CE280" i="4"/>
  <c r="CE281" i="4"/>
  <c r="CE282" i="4"/>
  <c r="CE283" i="4"/>
  <c r="CE284" i="4"/>
  <c r="CE285" i="4"/>
  <c r="CE286" i="4"/>
  <c r="CE287" i="4"/>
  <c r="CE288" i="4"/>
  <c r="CE289" i="4"/>
  <c r="CE290" i="4"/>
  <c r="CE291" i="4"/>
  <c r="CE292" i="4"/>
  <c r="CE293" i="4"/>
  <c r="CE294" i="4"/>
  <c r="CE295" i="4"/>
  <c r="CE296" i="4"/>
  <c r="CE297" i="4"/>
  <c r="CE298" i="4"/>
  <c r="CE299" i="4"/>
  <c r="CE300" i="4"/>
  <c r="CE301" i="4"/>
  <c r="CE302" i="4"/>
  <c r="CF3" i="4"/>
  <c r="CF4" i="4"/>
  <c r="CF5" i="4"/>
  <c r="CF6" i="4"/>
  <c r="CF7" i="4"/>
  <c r="CF8" i="4"/>
  <c r="CF9" i="4"/>
  <c r="CF10" i="4"/>
  <c r="CF11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28" i="4"/>
  <c r="CF129" i="4"/>
  <c r="CF130" i="4"/>
  <c r="CF131" i="4"/>
  <c r="CF132" i="4"/>
  <c r="CF133" i="4"/>
  <c r="CF134" i="4"/>
  <c r="CF135" i="4"/>
  <c r="CF136" i="4"/>
  <c r="CF137" i="4"/>
  <c r="CF138" i="4"/>
  <c r="CF139" i="4"/>
  <c r="CF140" i="4"/>
  <c r="CF141" i="4"/>
  <c r="CF142" i="4"/>
  <c r="CF143" i="4"/>
  <c r="CF144" i="4"/>
  <c r="CF145" i="4"/>
  <c r="CF146" i="4"/>
  <c r="CF147" i="4"/>
  <c r="CF148" i="4"/>
  <c r="CF149" i="4"/>
  <c r="CF150" i="4"/>
  <c r="CF151" i="4"/>
  <c r="CF152" i="4"/>
  <c r="CF153" i="4"/>
  <c r="CF154" i="4"/>
  <c r="CF155" i="4"/>
  <c r="CF156" i="4"/>
  <c r="CF157" i="4"/>
  <c r="CF158" i="4"/>
  <c r="CF159" i="4"/>
  <c r="CF160" i="4"/>
  <c r="CF161" i="4"/>
  <c r="CF162" i="4"/>
  <c r="CF163" i="4"/>
  <c r="CF164" i="4"/>
  <c r="CF165" i="4"/>
  <c r="CF166" i="4"/>
  <c r="CF167" i="4"/>
  <c r="CF168" i="4"/>
  <c r="CF169" i="4"/>
  <c r="CF170" i="4"/>
  <c r="CF171" i="4"/>
  <c r="CF172" i="4"/>
  <c r="CF173" i="4"/>
  <c r="CF174" i="4"/>
  <c r="CF175" i="4"/>
  <c r="CF176" i="4"/>
  <c r="CF177" i="4"/>
  <c r="CF178" i="4"/>
  <c r="CF179" i="4"/>
  <c r="CF180" i="4"/>
  <c r="CF181" i="4"/>
  <c r="CF182" i="4"/>
  <c r="CF183" i="4"/>
  <c r="CF184" i="4"/>
  <c r="CF185" i="4"/>
  <c r="CF186" i="4"/>
  <c r="CF187" i="4"/>
  <c r="CF188" i="4"/>
  <c r="CF189" i="4"/>
  <c r="CF190" i="4"/>
  <c r="CF191" i="4"/>
  <c r="CF192" i="4"/>
  <c r="CF193" i="4"/>
  <c r="CF194" i="4"/>
  <c r="CF195" i="4"/>
  <c r="CF196" i="4"/>
  <c r="CF197" i="4"/>
  <c r="CF198" i="4"/>
  <c r="CF199" i="4"/>
  <c r="CF200" i="4"/>
  <c r="CF201" i="4"/>
  <c r="CF202" i="4"/>
  <c r="CF203" i="4"/>
  <c r="CF204" i="4"/>
  <c r="CF205" i="4"/>
  <c r="CF206" i="4"/>
  <c r="CF207" i="4"/>
  <c r="CF208" i="4"/>
  <c r="CF209" i="4"/>
  <c r="CF210" i="4"/>
  <c r="CF211" i="4"/>
  <c r="CF212" i="4"/>
  <c r="CF213" i="4"/>
  <c r="CF214" i="4"/>
  <c r="CF215" i="4"/>
  <c r="CF216" i="4"/>
  <c r="CF217" i="4"/>
  <c r="CF218" i="4"/>
  <c r="CF219" i="4"/>
  <c r="CF220" i="4"/>
  <c r="CF221" i="4"/>
  <c r="CF222" i="4"/>
  <c r="CF223" i="4"/>
  <c r="CF224" i="4"/>
  <c r="CF225" i="4"/>
  <c r="CF226" i="4"/>
  <c r="CF227" i="4"/>
  <c r="CF228" i="4"/>
  <c r="CF229" i="4"/>
  <c r="CF230" i="4"/>
  <c r="CF231" i="4"/>
  <c r="CF232" i="4"/>
  <c r="CF233" i="4"/>
  <c r="CF234" i="4"/>
  <c r="CF235" i="4"/>
  <c r="CF236" i="4"/>
  <c r="CF237" i="4"/>
  <c r="CF238" i="4"/>
  <c r="CF239" i="4"/>
  <c r="CF240" i="4"/>
  <c r="CF241" i="4"/>
  <c r="CF242" i="4"/>
  <c r="CF243" i="4"/>
  <c r="CF244" i="4"/>
  <c r="CF245" i="4"/>
  <c r="CF246" i="4"/>
  <c r="CF247" i="4"/>
  <c r="CF248" i="4"/>
  <c r="CF249" i="4"/>
  <c r="CF250" i="4"/>
  <c r="CF251" i="4"/>
  <c r="CF252" i="4"/>
  <c r="CF253" i="4"/>
  <c r="CF254" i="4"/>
  <c r="CF255" i="4"/>
  <c r="CF256" i="4"/>
  <c r="CF257" i="4"/>
  <c r="CF258" i="4"/>
  <c r="CF259" i="4"/>
  <c r="CF260" i="4"/>
  <c r="CF261" i="4"/>
  <c r="CF262" i="4"/>
  <c r="CF263" i="4"/>
  <c r="CF264" i="4"/>
  <c r="CF265" i="4"/>
  <c r="CF266" i="4"/>
  <c r="CF267" i="4"/>
  <c r="CF268" i="4"/>
  <c r="CF269" i="4"/>
  <c r="CF270" i="4"/>
  <c r="CF271" i="4"/>
  <c r="CF272" i="4"/>
  <c r="CF273" i="4"/>
  <c r="CF274" i="4"/>
  <c r="CF275" i="4"/>
  <c r="CF276" i="4"/>
  <c r="CF277" i="4"/>
  <c r="CF278" i="4"/>
  <c r="CF279" i="4"/>
  <c r="CF280" i="4"/>
  <c r="CF281" i="4"/>
  <c r="CF282" i="4"/>
  <c r="CF283" i="4"/>
  <c r="CF284" i="4"/>
  <c r="CF285" i="4"/>
  <c r="CF286" i="4"/>
  <c r="CF287" i="4"/>
  <c r="CF288" i="4"/>
  <c r="CF289" i="4"/>
  <c r="CF290" i="4"/>
  <c r="CF291" i="4"/>
  <c r="CF292" i="4"/>
  <c r="CF293" i="4"/>
  <c r="CF294" i="4"/>
  <c r="CF295" i="4"/>
  <c r="CF296" i="4"/>
  <c r="CF297" i="4"/>
  <c r="CF298" i="4"/>
  <c r="CF299" i="4"/>
  <c r="CF300" i="4"/>
  <c r="CF301" i="4"/>
  <c r="CF302" i="4"/>
  <c r="CG14" i="4"/>
  <c r="CG22" i="4"/>
  <c r="CG30" i="4"/>
  <c r="CG38" i="4"/>
  <c r="CG46" i="4"/>
  <c r="CG54" i="4"/>
  <c r="CG62" i="4"/>
  <c r="CG70" i="4"/>
  <c r="CG78" i="4"/>
  <c r="CG86" i="4"/>
  <c r="CG94" i="4"/>
  <c r="CG102" i="4"/>
  <c r="CG110" i="4"/>
  <c r="CG118" i="4"/>
  <c r="CG126" i="4"/>
  <c r="CG134" i="4"/>
  <c r="CG142" i="4"/>
  <c r="CG150" i="4"/>
  <c r="CG158" i="4"/>
  <c r="CG166" i="4"/>
  <c r="CG174" i="4"/>
  <c r="CG182" i="4"/>
  <c r="CG190" i="4"/>
  <c r="CG198" i="4"/>
  <c r="CG206" i="4"/>
  <c r="CG214" i="4"/>
  <c r="CG222" i="4"/>
  <c r="CG230" i="4"/>
  <c r="CG238" i="4"/>
  <c r="CG246" i="4"/>
  <c r="CG254" i="4"/>
  <c r="E156" i="1"/>
  <c r="G156" i="1"/>
  <c r="AS5" i="4"/>
  <c r="CH4" i="4" s="1"/>
  <c r="AS6" i="4"/>
  <c r="CH5" i="4" s="1"/>
  <c r="AS7" i="4"/>
  <c r="CH6" i="4" s="1"/>
  <c r="AS8" i="4"/>
  <c r="CH7" i="4" s="1"/>
  <c r="AS9" i="4"/>
  <c r="CH8" i="4" s="1"/>
  <c r="AS10" i="4"/>
  <c r="CH9" i="4" s="1"/>
  <c r="AS11" i="4"/>
  <c r="CH10" i="4" s="1"/>
  <c r="AS12" i="4"/>
  <c r="CH11" i="4" s="1"/>
  <c r="AS13" i="4"/>
  <c r="CH12" i="4" s="1"/>
  <c r="AS14" i="4"/>
  <c r="CH13" i="4" s="1"/>
  <c r="AS15" i="4"/>
  <c r="CH14" i="4" s="1"/>
  <c r="AS16" i="4"/>
  <c r="CH15" i="4" s="1"/>
  <c r="AS17" i="4"/>
  <c r="CH16" i="4" s="1"/>
  <c r="AS18" i="4"/>
  <c r="CH17" i="4" s="1"/>
  <c r="AS19" i="4"/>
  <c r="CH18" i="4" s="1"/>
  <c r="AS20" i="4"/>
  <c r="CH19" i="4" s="1"/>
  <c r="AS21" i="4"/>
  <c r="CH20" i="4" s="1"/>
  <c r="AS22" i="4"/>
  <c r="CH21" i="4" s="1"/>
  <c r="AS23" i="4"/>
  <c r="CH22" i="4" s="1"/>
  <c r="AS24" i="4"/>
  <c r="CH23" i="4" s="1"/>
  <c r="AS25" i="4"/>
  <c r="CH24" i="4" s="1"/>
  <c r="AS26" i="4"/>
  <c r="CH25" i="4" s="1"/>
  <c r="AS27" i="4"/>
  <c r="CH26" i="4" s="1"/>
  <c r="AS28" i="4"/>
  <c r="CH27" i="4" s="1"/>
  <c r="AS29" i="4"/>
  <c r="CH28" i="4" s="1"/>
  <c r="AS30" i="4"/>
  <c r="CH29" i="4" s="1"/>
  <c r="AS31" i="4"/>
  <c r="CH30" i="4" s="1"/>
  <c r="AS32" i="4"/>
  <c r="CH31" i="4" s="1"/>
  <c r="AS33" i="4"/>
  <c r="CH32" i="4" s="1"/>
  <c r="AS34" i="4"/>
  <c r="CH33" i="4" s="1"/>
  <c r="AS35" i="4"/>
  <c r="CH34" i="4" s="1"/>
  <c r="AS36" i="4"/>
  <c r="CH35" i="4" s="1"/>
  <c r="AS37" i="4"/>
  <c r="CH36" i="4" s="1"/>
  <c r="AS38" i="4"/>
  <c r="CH37" i="4" s="1"/>
  <c r="AS39" i="4"/>
  <c r="CH38" i="4" s="1"/>
  <c r="AS40" i="4"/>
  <c r="CH39" i="4" s="1"/>
  <c r="AS41" i="4"/>
  <c r="CH40" i="4" s="1"/>
  <c r="AS42" i="4"/>
  <c r="CH41" i="4" s="1"/>
  <c r="AS43" i="4"/>
  <c r="CH42" i="4" s="1"/>
  <c r="AS44" i="4"/>
  <c r="CH43" i="4" s="1"/>
  <c r="AS45" i="4"/>
  <c r="CH44" i="4" s="1"/>
  <c r="AS46" i="4"/>
  <c r="CH45" i="4" s="1"/>
  <c r="AS47" i="4"/>
  <c r="CH46" i="4" s="1"/>
  <c r="AS48" i="4"/>
  <c r="CH47" i="4" s="1"/>
  <c r="AS49" i="4"/>
  <c r="CH48" i="4" s="1"/>
  <c r="AS50" i="4"/>
  <c r="CH49" i="4" s="1"/>
  <c r="AS51" i="4"/>
  <c r="CH50" i="4" s="1"/>
  <c r="AS52" i="4"/>
  <c r="CH51" i="4" s="1"/>
  <c r="AS53" i="4"/>
  <c r="CH52" i="4" s="1"/>
  <c r="AS54" i="4"/>
  <c r="CH53" i="4" s="1"/>
  <c r="AS55" i="4"/>
  <c r="CH54" i="4" s="1"/>
  <c r="AS56" i="4"/>
  <c r="CH55" i="4" s="1"/>
  <c r="AS57" i="4"/>
  <c r="CH56" i="4" s="1"/>
  <c r="AS58" i="4"/>
  <c r="CH57" i="4" s="1"/>
  <c r="AS59" i="4"/>
  <c r="CH58" i="4" s="1"/>
  <c r="AS60" i="4"/>
  <c r="CH59" i="4" s="1"/>
  <c r="AS61" i="4"/>
  <c r="CH60" i="4" s="1"/>
  <c r="AS62" i="4"/>
  <c r="CH61" i="4" s="1"/>
  <c r="AS63" i="4"/>
  <c r="CH62" i="4" s="1"/>
  <c r="AS64" i="4"/>
  <c r="CH63" i="4" s="1"/>
  <c r="AS65" i="4"/>
  <c r="CH64" i="4" s="1"/>
  <c r="AS66" i="4"/>
  <c r="CH65" i="4" s="1"/>
  <c r="AS67" i="4"/>
  <c r="CH66" i="4" s="1"/>
  <c r="AS68" i="4"/>
  <c r="CH67" i="4" s="1"/>
  <c r="AS69" i="4"/>
  <c r="CH68" i="4" s="1"/>
  <c r="AS70" i="4"/>
  <c r="CH69" i="4" s="1"/>
  <c r="AS71" i="4"/>
  <c r="CH70" i="4" s="1"/>
  <c r="AS72" i="4"/>
  <c r="CH71" i="4" s="1"/>
  <c r="AS73" i="4"/>
  <c r="CH72" i="4" s="1"/>
  <c r="AS74" i="4"/>
  <c r="CH73" i="4" s="1"/>
  <c r="AS75" i="4"/>
  <c r="CH74" i="4" s="1"/>
  <c r="AS76" i="4"/>
  <c r="CH75" i="4" s="1"/>
  <c r="AS77" i="4"/>
  <c r="CH76" i="4" s="1"/>
  <c r="AS78" i="4"/>
  <c r="CH77" i="4" s="1"/>
  <c r="AS79" i="4"/>
  <c r="CH78" i="4" s="1"/>
  <c r="AS80" i="4"/>
  <c r="CH79" i="4" s="1"/>
  <c r="AS81" i="4"/>
  <c r="CH80" i="4" s="1"/>
  <c r="AS82" i="4"/>
  <c r="CH81" i="4" s="1"/>
  <c r="AS83" i="4"/>
  <c r="CH82" i="4" s="1"/>
  <c r="AS84" i="4"/>
  <c r="CH83" i="4" s="1"/>
  <c r="AS85" i="4"/>
  <c r="CH84" i="4" s="1"/>
  <c r="AS86" i="4"/>
  <c r="CH85" i="4" s="1"/>
  <c r="AS87" i="4"/>
  <c r="CH86" i="4" s="1"/>
  <c r="AS88" i="4"/>
  <c r="CH87" i="4" s="1"/>
  <c r="AS89" i="4"/>
  <c r="CH88" i="4" s="1"/>
  <c r="AS90" i="4"/>
  <c r="CH89" i="4" s="1"/>
  <c r="AS91" i="4"/>
  <c r="CH90" i="4" s="1"/>
  <c r="AS92" i="4"/>
  <c r="CH91" i="4" s="1"/>
  <c r="AS93" i="4"/>
  <c r="CH92" i="4" s="1"/>
  <c r="AS94" i="4"/>
  <c r="CH93" i="4" s="1"/>
  <c r="AS95" i="4"/>
  <c r="CH94" i="4" s="1"/>
  <c r="AS96" i="4"/>
  <c r="CH95" i="4" s="1"/>
  <c r="AS97" i="4"/>
  <c r="CH96" i="4" s="1"/>
  <c r="AS98" i="4"/>
  <c r="CH97" i="4" s="1"/>
  <c r="AS99" i="4"/>
  <c r="CH98" i="4" s="1"/>
  <c r="AS100" i="4"/>
  <c r="CH99" i="4" s="1"/>
  <c r="AS101" i="4"/>
  <c r="CH100" i="4" s="1"/>
  <c r="AS102" i="4"/>
  <c r="CH101" i="4" s="1"/>
  <c r="AS103" i="4"/>
  <c r="CH102" i="4" s="1"/>
  <c r="AS104" i="4"/>
  <c r="CH103" i="4" s="1"/>
  <c r="AS105" i="4"/>
  <c r="CH104" i="4" s="1"/>
  <c r="AS106" i="4"/>
  <c r="CH105" i="4" s="1"/>
  <c r="AS107" i="4"/>
  <c r="CH106" i="4" s="1"/>
  <c r="AS108" i="4"/>
  <c r="CH107" i="4" s="1"/>
  <c r="AS109" i="4"/>
  <c r="CH108" i="4" s="1"/>
  <c r="AS110" i="4"/>
  <c r="CH109" i="4" s="1"/>
  <c r="AS111" i="4"/>
  <c r="CH110" i="4" s="1"/>
  <c r="AS112" i="4"/>
  <c r="CH111" i="4" s="1"/>
  <c r="AS113" i="4"/>
  <c r="CH112" i="4" s="1"/>
  <c r="AS114" i="4"/>
  <c r="CH113" i="4" s="1"/>
  <c r="AS115" i="4"/>
  <c r="CH114" i="4" s="1"/>
  <c r="AS116" i="4"/>
  <c r="CH115" i="4" s="1"/>
  <c r="AS117" i="4"/>
  <c r="CH116" i="4" s="1"/>
  <c r="AS118" i="4"/>
  <c r="CH117" i="4" s="1"/>
  <c r="AS119" i="4"/>
  <c r="CH118" i="4" s="1"/>
  <c r="AS120" i="4"/>
  <c r="CH119" i="4" s="1"/>
  <c r="AS121" i="4"/>
  <c r="CH120" i="4" s="1"/>
  <c r="AS122" i="4"/>
  <c r="CH121" i="4" s="1"/>
  <c r="AS123" i="4"/>
  <c r="CH122" i="4" s="1"/>
  <c r="AS124" i="4"/>
  <c r="CH123" i="4" s="1"/>
  <c r="AS125" i="4"/>
  <c r="CH124" i="4" s="1"/>
  <c r="AS126" i="4"/>
  <c r="CH125" i="4" s="1"/>
  <c r="AS127" i="4"/>
  <c r="CH126" i="4" s="1"/>
  <c r="AS128" i="4"/>
  <c r="CH127" i="4" s="1"/>
  <c r="AS129" i="4"/>
  <c r="CH128" i="4" s="1"/>
  <c r="AS130" i="4"/>
  <c r="CH129" i="4" s="1"/>
  <c r="AS131" i="4"/>
  <c r="CH130" i="4" s="1"/>
  <c r="AS132" i="4"/>
  <c r="CH131" i="4" s="1"/>
  <c r="AS133" i="4"/>
  <c r="CH132" i="4" s="1"/>
  <c r="AS134" i="4"/>
  <c r="CH133" i="4" s="1"/>
  <c r="AS135" i="4"/>
  <c r="CH134" i="4" s="1"/>
  <c r="AS136" i="4"/>
  <c r="CH135" i="4" s="1"/>
  <c r="AS137" i="4"/>
  <c r="CH136" i="4" s="1"/>
  <c r="AS138" i="4"/>
  <c r="CH137" i="4" s="1"/>
  <c r="AS139" i="4"/>
  <c r="CH138" i="4" s="1"/>
  <c r="AS140" i="4"/>
  <c r="CH139" i="4" s="1"/>
  <c r="AS141" i="4"/>
  <c r="CH140" i="4" s="1"/>
  <c r="AS142" i="4"/>
  <c r="CH141" i="4" s="1"/>
  <c r="AS143" i="4"/>
  <c r="CH142" i="4" s="1"/>
  <c r="AS144" i="4"/>
  <c r="CH143" i="4" s="1"/>
  <c r="AS145" i="4"/>
  <c r="CH144" i="4" s="1"/>
  <c r="AS146" i="4"/>
  <c r="CH145" i="4" s="1"/>
  <c r="AS147" i="4"/>
  <c r="CH146" i="4" s="1"/>
  <c r="AS148" i="4"/>
  <c r="CH147" i="4" s="1"/>
  <c r="AS149" i="4"/>
  <c r="CH148" i="4" s="1"/>
  <c r="AS150" i="4"/>
  <c r="CH149" i="4" s="1"/>
  <c r="AS151" i="4"/>
  <c r="CH150" i="4" s="1"/>
  <c r="AS152" i="4"/>
  <c r="CH151" i="4" s="1"/>
  <c r="AS153" i="4"/>
  <c r="CH152" i="4" s="1"/>
  <c r="AS154" i="4"/>
  <c r="CH153" i="4" s="1"/>
  <c r="AS155" i="4"/>
  <c r="CH154" i="4" s="1"/>
  <c r="AS156" i="4"/>
  <c r="CH155" i="4" s="1"/>
  <c r="AS157" i="4"/>
  <c r="CH156" i="4" s="1"/>
  <c r="AS158" i="4"/>
  <c r="CH157" i="4" s="1"/>
  <c r="AS159" i="4"/>
  <c r="CH158" i="4" s="1"/>
  <c r="AS160" i="4"/>
  <c r="CH159" i="4" s="1"/>
  <c r="AS161" i="4"/>
  <c r="CH160" i="4" s="1"/>
  <c r="AS162" i="4"/>
  <c r="CH161" i="4" s="1"/>
  <c r="AS163" i="4"/>
  <c r="CH162" i="4" s="1"/>
  <c r="AS164" i="4"/>
  <c r="CH163" i="4" s="1"/>
  <c r="AS165" i="4"/>
  <c r="CH164" i="4" s="1"/>
  <c r="AS166" i="4"/>
  <c r="CH165" i="4" s="1"/>
  <c r="AS167" i="4"/>
  <c r="CH166" i="4" s="1"/>
  <c r="AS168" i="4"/>
  <c r="CH167" i="4" s="1"/>
  <c r="AS169" i="4"/>
  <c r="CH168" i="4" s="1"/>
  <c r="AS170" i="4"/>
  <c r="CH169" i="4" s="1"/>
  <c r="AS171" i="4"/>
  <c r="CH170" i="4" s="1"/>
  <c r="AS172" i="4"/>
  <c r="CH171" i="4" s="1"/>
  <c r="AS173" i="4"/>
  <c r="CH172" i="4" s="1"/>
  <c r="AS174" i="4"/>
  <c r="CH173" i="4" s="1"/>
  <c r="AS175" i="4"/>
  <c r="CH174" i="4" s="1"/>
  <c r="AS176" i="4"/>
  <c r="CH175" i="4" s="1"/>
  <c r="AS177" i="4"/>
  <c r="CH176" i="4" s="1"/>
  <c r="AS178" i="4"/>
  <c r="CH177" i="4" s="1"/>
  <c r="AS179" i="4"/>
  <c r="CH178" i="4" s="1"/>
  <c r="AS180" i="4"/>
  <c r="CH179" i="4" s="1"/>
  <c r="AS181" i="4"/>
  <c r="CH180" i="4" s="1"/>
  <c r="AS182" i="4"/>
  <c r="CH181" i="4" s="1"/>
  <c r="AS183" i="4"/>
  <c r="CH182" i="4" s="1"/>
  <c r="AS184" i="4"/>
  <c r="CH183" i="4" s="1"/>
  <c r="AS185" i="4"/>
  <c r="CH184" i="4" s="1"/>
  <c r="AS186" i="4"/>
  <c r="CH185" i="4" s="1"/>
  <c r="AS187" i="4"/>
  <c r="CH186" i="4" s="1"/>
  <c r="AS188" i="4"/>
  <c r="CH187" i="4" s="1"/>
  <c r="AS189" i="4"/>
  <c r="CH188" i="4" s="1"/>
  <c r="AS190" i="4"/>
  <c r="CH189" i="4" s="1"/>
  <c r="AS191" i="4"/>
  <c r="CH190" i="4" s="1"/>
  <c r="AS192" i="4"/>
  <c r="CH191" i="4" s="1"/>
  <c r="AS193" i="4"/>
  <c r="CH192" i="4" s="1"/>
  <c r="AS194" i="4"/>
  <c r="CH193" i="4" s="1"/>
  <c r="AS195" i="4"/>
  <c r="CH194" i="4" s="1"/>
  <c r="AS196" i="4"/>
  <c r="CH195" i="4" s="1"/>
  <c r="AS197" i="4"/>
  <c r="CH196" i="4" s="1"/>
  <c r="AS198" i="4"/>
  <c r="CH197" i="4" s="1"/>
  <c r="AS199" i="4"/>
  <c r="CH198" i="4" s="1"/>
  <c r="AS200" i="4"/>
  <c r="CH199" i="4" s="1"/>
  <c r="AS201" i="4"/>
  <c r="CH200" i="4" s="1"/>
  <c r="AS202" i="4"/>
  <c r="CH201" i="4" s="1"/>
  <c r="AS203" i="4"/>
  <c r="CH202" i="4" s="1"/>
  <c r="AS204" i="4"/>
  <c r="CH203" i="4" s="1"/>
  <c r="AS205" i="4"/>
  <c r="CH204" i="4" s="1"/>
  <c r="AS206" i="4"/>
  <c r="CH205" i="4" s="1"/>
  <c r="AS207" i="4"/>
  <c r="CH206" i="4" s="1"/>
  <c r="AS208" i="4"/>
  <c r="CH207" i="4" s="1"/>
  <c r="AS209" i="4"/>
  <c r="CH208" i="4" s="1"/>
  <c r="AS210" i="4"/>
  <c r="CH209" i="4" s="1"/>
  <c r="AS211" i="4"/>
  <c r="CH210" i="4" s="1"/>
  <c r="AS212" i="4"/>
  <c r="CH211" i="4" s="1"/>
  <c r="AS213" i="4"/>
  <c r="CH212" i="4" s="1"/>
  <c r="AS214" i="4"/>
  <c r="CH213" i="4" s="1"/>
  <c r="AS215" i="4"/>
  <c r="CH214" i="4" s="1"/>
  <c r="AS216" i="4"/>
  <c r="CH215" i="4" s="1"/>
  <c r="AS217" i="4"/>
  <c r="CH216" i="4" s="1"/>
  <c r="AS218" i="4"/>
  <c r="CH217" i="4" s="1"/>
  <c r="AS219" i="4"/>
  <c r="CH218" i="4" s="1"/>
  <c r="AS220" i="4"/>
  <c r="CH219" i="4" s="1"/>
  <c r="AS221" i="4"/>
  <c r="CH220" i="4" s="1"/>
  <c r="AS222" i="4"/>
  <c r="CH221" i="4" s="1"/>
  <c r="AS223" i="4"/>
  <c r="CH222" i="4" s="1"/>
  <c r="AS224" i="4"/>
  <c r="CH223" i="4" s="1"/>
  <c r="AS225" i="4"/>
  <c r="CH224" i="4" s="1"/>
  <c r="AS226" i="4"/>
  <c r="CH225" i="4" s="1"/>
  <c r="AS227" i="4"/>
  <c r="CH226" i="4" s="1"/>
  <c r="AS228" i="4"/>
  <c r="CH227" i="4" s="1"/>
  <c r="AS229" i="4"/>
  <c r="CH228" i="4" s="1"/>
  <c r="AS230" i="4"/>
  <c r="CH229" i="4" s="1"/>
  <c r="AS231" i="4"/>
  <c r="CH230" i="4" s="1"/>
  <c r="AS232" i="4"/>
  <c r="CH231" i="4" s="1"/>
  <c r="AS233" i="4"/>
  <c r="CH232" i="4" s="1"/>
  <c r="AS234" i="4"/>
  <c r="CH233" i="4" s="1"/>
  <c r="AS235" i="4"/>
  <c r="CH234" i="4" s="1"/>
  <c r="AS236" i="4"/>
  <c r="CH235" i="4" s="1"/>
  <c r="AS237" i="4"/>
  <c r="CH236" i="4" s="1"/>
  <c r="AS238" i="4"/>
  <c r="CH237" i="4" s="1"/>
  <c r="AS239" i="4"/>
  <c r="CH238" i="4" s="1"/>
  <c r="AS240" i="4"/>
  <c r="CH239" i="4" s="1"/>
  <c r="AS241" i="4"/>
  <c r="CH240" i="4" s="1"/>
  <c r="AS242" i="4"/>
  <c r="CH241" i="4" s="1"/>
  <c r="AS243" i="4"/>
  <c r="CH242" i="4" s="1"/>
  <c r="AS244" i="4"/>
  <c r="CH243" i="4" s="1"/>
  <c r="AS245" i="4"/>
  <c r="CH244" i="4" s="1"/>
  <c r="AS246" i="4"/>
  <c r="CH245" i="4" s="1"/>
  <c r="AS247" i="4"/>
  <c r="CH246" i="4" s="1"/>
  <c r="AS248" i="4"/>
  <c r="CH247" i="4" s="1"/>
  <c r="AS249" i="4"/>
  <c r="CH248" i="4" s="1"/>
  <c r="AS250" i="4"/>
  <c r="CH249" i="4" s="1"/>
  <c r="AS251" i="4"/>
  <c r="CH250" i="4" s="1"/>
  <c r="AS252" i="4"/>
  <c r="CH251" i="4" s="1"/>
  <c r="AS253" i="4"/>
  <c r="CH252" i="4" s="1"/>
  <c r="AS254" i="4"/>
  <c r="CH253" i="4" s="1"/>
  <c r="AS255" i="4"/>
  <c r="CH254" i="4" s="1"/>
  <c r="AS256" i="4"/>
  <c r="CH255" i="4" s="1"/>
  <c r="AS257" i="4"/>
  <c r="CH256" i="4" s="1"/>
  <c r="AS258" i="4"/>
  <c r="CH257" i="4" s="1"/>
  <c r="AS259" i="4"/>
  <c r="CH258" i="4" s="1"/>
  <c r="AS260" i="4"/>
  <c r="CH259" i="4" s="1"/>
  <c r="AS261" i="4"/>
  <c r="CH260" i="4" s="1"/>
  <c r="AS262" i="4"/>
  <c r="CH261" i="4" s="1"/>
  <c r="AS263" i="4"/>
  <c r="CH262" i="4" s="1"/>
  <c r="AS264" i="4"/>
  <c r="CH263" i="4" s="1"/>
  <c r="AS265" i="4"/>
  <c r="CH264" i="4" s="1"/>
  <c r="AS266" i="4"/>
  <c r="CH265" i="4" s="1"/>
  <c r="AS267" i="4"/>
  <c r="CH266" i="4" s="1"/>
  <c r="AS268" i="4"/>
  <c r="CH267" i="4" s="1"/>
  <c r="AS269" i="4"/>
  <c r="CH268" i="4" s="1"/>
  <c r="AS270" i="4"/>
  <c r="CH269" i="4" s="1"/>
  <c r="AS271" i="4"/>
  <c r="CH270" i="4" s="1"/>
  <c r="AS272" i="4"/>
  <c r="CH271" i="4" s="1"/>
  <c r="AS273" i="4"/>
  <c r="CH272" i="4" s="1"/>
  <c r="AS274" i="4"/>
  <c r="CH273" i="4" s="1"/>
  <c r="AS275" i="4"/>
  <c r="CH274" i="4" s="1"/>
  <c r="AS276" i="4"/>
  <c r="CH275" i="4" s="1"/>
  <c r="AS277" i="4"/>
  <c r="CH276" i="4" s="1"/>
  <c r="AS278" i="4"/>
  <c r="CH277" i="4" s="1"/>
  <c r="AS279" i="4"/>
  <c r="CH278" i="4" s="1"/>
  <c r="AS280" i="4"/>
  <c r="CH279" i="4" s="1"/>
  <c r="AS281" i="4"/>
  <c r="CH280" i="4" s="1"/>
  <c r="AS282" i="4"/>
  <c r="CH281" i="4" s="1"/>
  <c r="AS283" i="4"/>
  <c r="CH282" i="4" s="1"/>
  <c r="AS284" i="4"/>
  <c r="CH283" i="4" s="1"/>
  <c r="AS285" i="4"/>
  <c r="CH284" i="4" s="1"/>
  <c r="AS286" i="4"/>
  <c r="CH285" i="4" s="1"/>
  <c r="AS287" i="4"/>
  <c r="CH286" i="4" s="1"/>
  <c r="AS288" i="4"/>
  <c r="CH287" i="4" s="1"/>
  <c r="AS289" i="4"/>
  <c r="CH288" i="4" s="1"/>
  <c r="AS290" i="4"/>
  <c r="CH289" i="4" s="1"/>
  <c r="AS291" i="4"/>
  <c r="CH290" i="4" s="1"/>
  <c r="AS292" i="4"/>
  <c r="CH291" i="4" s="1"/>
  <c r="AS293" i="4"/>
  <c r="CH292" i="4" s="1"/>
  <c r="AS294" i="4"/>
  <c r="CH293" i="4" s="1"/>
  <c r="AS295" i="4"/>
  <c r="CH294" i="4" s="1"/>
  <c r="AS296" i="4"/>
  <c r="CH295" i="4" s="1"/>
  <c r="AS297" i="4"/>
  <c r="CH296" i="4" s="1"/>
  <c r="AS298" i="4"/>
  <c r="CH297" i="4" s="1"/>
  <c r="AS299" i="4"/>
  <c r="CH298" i="4" s="1"/>
  <c r="AS300" i="4"/>
  <c r="CH299" i="4" s="1"/>
  <c r="AS301" i="4"/>
  <c r="CH300" i="4" s="1"/>
  <c r="AS302" i="4"/>
  <c r="CH301" i="4" s="1"/>
  <c r="AS303" i="4"/>
  <c r="CH302" i="4" s="1"/>
  <c r="AS4" i="4"/>
  <c r="CH3" i="4" s="1"/>
  <c r="G5" i="4"/>
  <c r="CG4" i="4" s="1"/>
  <c r="G6" i="4"/>
  <c r="CG5" i="4" s="1"/>
  <c r="G7" i="4"/>
  <c r="CG6" i="4" s="1"/>
  <c r="G8" i="4"/>
  <c r="CG7" i="4" s="1"/>
  <c r="G9" i="4"/>
  <c r="CG8" i="4" s="1"/>
  <c r="G10" i="4"/>
  <c r="CG9" i="4" s="1"/>
  <c r="G11" i="4"/>
  <c r="CG10" i="4" s="1"/>
  <c r="G12" i="4"/>
  <c r="CG11" i="4" s="1"/>
  <c r="G13" i="4"/>
  <c r="CG12" i="4" s="1"/>
  <c r="G14" i="4"/>
  <c r="CG13" i="4" s="1"/>
  <c r="G15" i="4"/>
  <c r="G16" i="4"/>
  <c r="CG15" i="4" s="1"/>
  <c r="G17" i="4"/>
  <c r="CG16" i="4" s="1"/>
  <c r="G18" i="4"/>
  <c r="CG17" i="4" s="1"/>
  <c r="G19" i="4"/>
  <c r="CG18" i="4" s="1"/>
  <c r="G20" i="4"/>
  <c r="CG19" i="4" s="1"/>
  <c r="G21" i="4"/>
  <c r="CG20" i="4" s="1"/>
  <c r="G22" i="4"/>
  <c r="CG21" i="4" s="1"/>
  <c r="G23" i="4"/>
  <c r="G24" i="4"/>
  <c r="CG23" i="4" s="1"/>
  <c r="G25" i="4"/>
  <c r="CG24" i="4" s="1"/>
  <c r="G26" i="4"/>
  <c r="CG25" i="4" s="1"/>
  <c r="G27" i="4"/>
  <c r="CG26" i="4" s="1"/>
  <c r="G28" i="4"/>
  <c r="CG27" i="4" s="1"/>
  <c r="G29" i="4"/>
  <c r="CG28" i="4" s="1"/>
  <c r="G30" i="4"/>
  <c r="CG29" i="4" s="1"/>
  <c r="G31" i="4"/>
  <c r="G32" i="4"/>
  <c r="CG31" i="4" s="1"/>
  <c r="G33" i="4"/>
  <c r="CG32" i="4" s="1"/>
  <c r="G34" i="4"/>
  <c r="CG33" i="4" s="1"/>
  <c r="G35" i="4"/>
  <c r="CG34" i="4" s="1"/>
  <c r="G36" i="4"/>
  <c r="CG35" i="4" s="1"/>
  <c r="G37" i="4"/>
  <c r="CG36" i="4" s="1"/>
  <c r="G38" i="4"/>
  <c r="CG37" i="4" s="1"/>
  <c r="G39" i="4"/>
  <c r="G40" i="4"/>
  <c r="CG39" i="4" s="1"/>
  <c r="G41" i="4"/>
  <c r="CG40" i="4" s="1"/>
  <c r="G42" i="4"/>
  <c r="CG41" i="4" s="1"/>
  <c r="G43" i="4"/>
  <c r="CG42" i="4" s="1"/>
  <c r="G44" i="4"/>
  <c r="CG43" i="4" s="1"/>
  <c r="G45" i="4"/>
  <c r="CG44" i="4" s="1"/>
  <c r="G46" i="4"/>
  <c r="CG45" i="4" s="1"/>
  <c r="G47" i="4"/>
  <c r="G48" i="4"/>
  <c r="CG47" i="4" s="1"/>
  <c r="G49" i="4"/>
  <c r="CG48" i="4" s="1"/>
  <c r="G50" i="4"/>
  <c r="CG49" i="4" s="1"/>
  <c r="G51" i="4"/>
  <c r="CG50" i="4" s="1"/>
  <c r="G52" i="4"/>
  <c r="CG51" i="4" s="1"/>
  <c r="G53" i="4"/>
  <c r="CG52" i="4" s="1"/>
  <c r="G54" i="4"/>
  <c r="CG53" i="4" s="1"/>
  <c r="G55" i="4"/>
  <c r="G56" i="4"/>
  <c r="CG55" i="4" s="1"/>
  <c r="G57" i="4"/>
  <c r="CG56" i="4" s="1"/>
  <c r="G58" i="4"/>
  <c r="CG57" i="4" s="1"/>
  <c r="G59" i="4"/>
  <c r="CG58" i="4" s="1"/>
  <c r="G60" i="4"/>
  <c r="CG59" i="4" s="1"/>
  <c r="G61" i="4"/>
  <c r="CG60" i="4" s="1"/>
  <c r="G62" i="4"/>
  <c r="CG61" i="4" s="1"/>
  <c r="G63" i="4"/>
  <c r="G64" i="4"/>
  <c r="CG63" i="4" s="1"/>
  <c r="G65" i="4"/>
  <c r="CG64" i="4" s="1"/>
  <c r="G66" i="4"/>
  <c r="CG65" i="4" s="1"/>
  <c r="G67" i="4"/>
  <c r="CG66" i="4" s="1"/>
  <c r="G68" i="4"/>
  <c r="CG67" i="4" s="1"/>
  <c r="G69" i="4"/>
  <c r="CG68" i="4" s="1"/>
  <c r="G70" i="4"/>
  <c r="CG69" i="4" s="1"/>
  <c r="G71" i="4"/>
  <c r="G72" i="4"/>
  <c r="CG71" i="4" s="1"/>
  <c r="G73" i="4"/>
  <c r="CG72" i="4" s="1"/>
  <c r="G74" i="4"/>
  <c r="CG73" i="4" s="1"/>
  <c r="G75" i="4"/>
  <c r="CG74" i="4" s="1"/>
  <c r="G76" i="4"/>
  <c r="CG75" i="4" s="1"/>
  <c r="G77" i="4"/>
  <c r="CG76" i="4" s="1"/>
  <c r="G78" i="4"/>
  <c r="CG77" i="4" s="1"/>
  <c r="G79" i="4"/>
  <c r="G80" i="4"/>
  <c r="CG79" i="4" s="1"/>
  <c r="G81" i="4"/>
  <c r="CG80" i="4" s="1"/>
  <c r="G82" i="4"/>
  <c r="CG81" i="4" s="1"/>
  <c r="G83" i="4"/>
  <c r="CG82" i="4" s="1"/>
  <c r="G84" i="4"/>
  <c r="CG83" i="4" s="1"/>
  <c r="G85" i="4"/>
  <c r="CG84" i="4" s="1"/>
  <c r="G86" i="4"/>
  <c r="CG85" i="4" s="1"/>
  <c r="G87" i="4"/>
  <c r="G88" i="4"/>
  <c r="CG87" i="4" s="1"/>
  <c r="G89" i="4"/>
  <c r="CG88" i="4" s="1"/>
  <c r="G90" i="4"/>
  <c r="CG89" i="4" s="1"/>
  <c r="G91" i="4"/>
  <c r="CG90" i="4" s="1"/>
  <c r="G92" i="4"/>
  <c r="CG91" i="4" s="1"/>
  <c r="G93" i="4"/>
  <c r="CG92" i="4" s="1"/>
  <c r="G94" i="4"/>
  <c r="CG93" i="4" s="1"/>
  <c r="G95" i="4"/>
  <c r="G96" i="4"/>
  <c r="CG95" i="4" s="1"/>
  <c r="G97" i="4"/>
  <c r="CG96" i="4" s="1"/>
  <c r="G98" i="4"/>
  <c r="CG97" i="4" s="1"/>
  <c r="G99" i="4"/>
  <c r="CG98" i="4" s="1"/>
  <c r="G100" i="4"/>
  <c r="CG99" i="4" s="1"/>
  <c r="G101" i="4"/>
  <c r="CG100" i="4" s="1"/>
  <c r="G102" i="4"/>
  <c r="CG101" i="4" s="1"/>
  <c r="G103" i="4"/>
  <c r="G104" i="4"/>
  <c r="CG103" i="4" s="1"/>
  <c r="G105" i="4"/>
  <c r="CG104" i="4" s="1"/>
  <c r="G106" i="4"/>
  <c r="CG105" i="4" s="1"/>
  <c r="G107" i="4"/>
  <c r="CG106" i="4" s="1"/>
  <c r="G108" i="4"/>
  <c r="CG107" i="4" s="1"/>
  <c r="G109" i="4"/>
  <c r="CG108" i="4" s="1"/>
  <c r="G110" i="4"/>
  <c r="CG109" i="4" s="1"/>
  <c r="G111" i="4"/>
  <c r="G112" i="4"/>
  <c r="CG111" i="4" s="1"/>
  <c r="G113" i="4"/>
  <c r="CG112" i="4" s="1"/>
  <c r="G114" i="4"/>
  <c r="CG113" i="4" s="1"/>
  <c r="G115" i="4"/>
  <c r="CG114" i="4" s="1"/>
  <c r="G116" i="4"/>
  <c r="CG115" i="4" s="1"/>
  <c r="G117" i="4"/>
  <c r="CG116" i="4" s="1"/>
  <c r="G118" i="4"/>
  <c r="CG117" i="4" s="1"/>
  <c r="G119" i="4"/>
  <c r="G120" i="4"/>
  <c r="CG119" i="4" s="1"/>
  <c r="G121" i="4"/>
  <c r="CG120" i="4" s="1"/>
  <c r="G122" i="4"/>
  <c r="CG121" i="4" s="1"/>
  <c r="G123" i="4"/>
  <c r="CG122" i="4" s="1"/>
  <c r="G124" i="4"/>
  <c r="CG123" i="4" s="1"/>
  <c r="G125" i="4"/>
  <c r="CG124" i="4" s="1"/>
  <c r="G126" i="4"/>
  <c r="CG125" i="4" s="1"/>
  <c r="G127" i="4"/>
  <c r="G128" i="4"/>
  <c r="CG127" i="4" s="1"/>
  <c r="G129" i="4"/>
  <c r="CG128" i="4" s="1"/>
  <c r="G130" i="4"/>
  <c r="CG129" i="4" s="1"/>
  <c r="G131" i="4"/>
  <c r="CG130" i="4" s="1"/>
  <c r="G132" i="4"/>
  <c r="CG131" i="4" s="1"/>
  <c r="G133" i="4"/>
  <c r="CG132" i="4" s="1"/>
  <c r="G134" i="4"/>
  <c r="CG133" i="4" s="1"/>
  <c r="G135" i="4"/>
  <c r="G136" i="4"/>
  <c r="CG135" i="4" s="1"/>
  <c r="G137" i="4"/>
  <c r="CG136" i="4" s="1"/>
  <c r="G138" i="4"/>
  <c r="CG137" i="4" s="1"/>
  <c r="G139" i="4"/>
  <c r="CG138" i="4" s="1"/>
  <c r="G140" i="4"/>
  <c r="CG139" i="4" s="1"/>
  <c r="G141" i="4"/>
  <c r="CG140" i="4" s="1"/>
  <c r="G142" i="4"/>
  <c r="CG141" i="4" s="1"/>
  <c r="G143" i="4"/>
  <c r="G144" i="4"/>
  <c r="CG143" i="4" s="1"/>
  <c r="G145" i="4"/>
  <c r="CG144" i="4" s="1"/>
  <c r="G146" i="4"/>
  <c r="CG145" i="4" s="1"/>
  <c r="G147" i="4"/>
  <c r="CG146" i="4" s="1"/>
  <c r="G148" i="4"/>
  <c r="CG147" i="4" s="1"/>
  <c r="G149" i="4"/>
  <c r="CG148" i="4" s="1"/>
  <c r="G150" i="4"/>
  <c r="CG149" i="4" s="1"/>
  <c r="G151" i="4"/>
  <c r="G152" i="4"/>
  <c r="CG151" i="4" s="1"/>
  <c r="G153" i="4"/>
  <c r="CG152" i="4" s="1"/>
  <c r="G154" i="4"/>
  <c r="CG153" i="4" s="1"/>
  <c r="G155" i="4"/>
  <c r="CG154" i="4" s="1"/>
  <c r="G156" i="4"/>
  <c r="CG155" i="4" s="1"/>
  <c r="G157" i="4"/>
  <c r="CG156" i="4" s="1"/>
  <c r="G158" i="4"/>
  <c r="CG157" i="4" s="1"/>
  <c r="G159" i="4"/>
  <c r="G160" i="4"/>
  <c r="CG159" i="4" s="1"/>
  <c r="G161" i="4"/>
  <c r="CG160" i="4" s="1"/>
  <c r="G162" i="4"/>
  <c r="CG161" i="4" s="1"/>
  <c r="G163" i="4"/>
  <c r="CG162" i="4" s="1"/>
  <c r="G164" i="4"/>
  <c r="CG163" i="4" s="1"/>
  <c r="G165" i="4"/>
  <c r="CG164" i="4" s="1"/>
  <c r="G166" i="4"/>
  <c r="CG165" i="4" s="1"/>
  <c r="G167" i="4"/>
  <c r="G168" i="4"/>
  <c r="CG167" i="4" s="1"/>
  <c r="G169" i="4"/>
  <c r="CG168" i="4" s="1"/>
  <c r="G170" i="4"/>
  <c r="CG169" i="4" s="1"/>
  <c r="G171" i="4"/>
  <c r="CG170" i="4" s="1"/>
  <c r="G172" i="4"/>
  <c r="CG171" i="4" s="1"/>
  <c r="G173" i="4"/>
  <c r="CG172" i="4" s="1"/>
  <c r="G174" i="4"/>
  <c r="CG173" i="4" s="1"/>
  <c r="G175" i="4"/>
  <c r="G176" i="4"/>
  <c r="CG175" i="4" s="1"/>
  <c r="G177" i="4"/>
  <c r="CG176" i="4" s="1"/>
  <c r="G178" i="4"/>
  <c r="CG177" i="4" s="1"/>
  <c r="G179" i="4"/>
  <c r="CG178" i="4" s="1"/>
  <c r="G180" i="4"/>
  <c r="CG179" i="4" s="1"/>
  <c r="G181" i="4"/>
  <c r="CG180" i="4" s="1"/>
  <c r="G182" i="4"/>
  <c r="CG181" i="4" s="1"/>
  <c r="G183" i="4"/>
  <c r="G184" i="4"/>
  <c r="CG183" i="4" s="1"/>
  <c r="G185" i="4"/>
  <c r="CG184" i="4" s="1"/>
  <c r="G186" i="4"/>
  <c r="CG185" i="4" s="1"/>
  <c r="G187" i="4"/>
  <c r="CG186" i="4" s="1"/>
  <c r="G188" i="4"/>
  <c r="CG187" i="4" s="1"/>
  <c r="G189" i="4"/>
  <c r="CG188" i="4" s="1"/>
  <c r="G190" i="4"/>
  <c r="CG189" i="4" s="1"/>
  <c r="G191" i="4"/>
  <c r="G192" i="4"/>
  <c r="CG191" i="4" s="1"/>
  <c r="G193" i="4"/>
  <c r="CG192" i="4" s="1"/>
  <c r="G194" i="4"/>
  <c r="CG193" i="4" s="1"/>
  <c r="G195" i="4"/>
  <c r="CG194" i="4" s="1"/>
  <c r="G196" i="4"/>
  <c r="CG195" i="4" s="1"/>
  <c r="G197" i="4"/>
  <c r="CG196" i="4" s="1"/>
  <c r="G198" i="4"/>
  <c r="CG197" i="4" s="1"/>
  <c r="G199" i="4"/>
  <c r="G200" i="4"/>
  <c r="CG199" i="4" s="1"/>
  <c r="G201" i="4"/>
  <c r="CG200" i="4" s="1"/>
  <c r="G202" i="4"/>
  <c r="CG201" i="4" s="1"/>
  <c r="G203" i="4"/>
  <c r="CG202" i="4" s="1"/>
  <c r="G204" i="4"/>
  <c r="CG203" i="4" s="1"/>
  <c r="G205" i="4"/>
  <c r="CG204" i="4" s="1"/>
  <c r="G206" i="4"/>
  <c r="CG205" i="4" s="1"/>
  <c r="G207" i="4"/>
  <c r="G208" i="4"/>
  <c r="CG207" i="4" s="1"/>
  <c r="G209" i="4"/>
  <c r="CG208" i="4" s="1"/>
  <c r="G210" i="4"/>
  <c r="CG209" i="4" s="1"/>
  <c r="G211" i="4"/>
  <c r="CG210" i="4" s="1"/>
  <c r="G212" i="4"/>
  <c r="CG211" i="4" s="1"/>
  <c r="G213" i="4"/>
  <c r="CG212" i="4" s="1"/>
  <c r="G214" i="4"/>
  <c r="CG213" i="4" s="1"/>
  <c r="G215" i="4"/>
  <c r="G216" i="4"/>
  <c r="CG215" i="4" s="1"/>
  <c r="G217" i="4"/>
  <c r="CG216" i="4" s="1"/>
  <c r="G218" i="4"/>
  <c r="CG217" i="4" s="1"/>
  <c r="G219" i="4"/>
  <c r="CG218" i="4" s="1"/>
  <c r="G220" i="4"/>
  <c r="CG219" i="4" s="1"/>
  <c r="G221" i="4"/>
  <c r="CG220" i="4" s="1"/>
  <c r="G222" i="4"/>
  <c r="CG221" i="4" s="1"/>
  <c r="G223" i="4"/>
  <c r="G224" i="4"/>
  <c r="CG223" i="4" s="1"/>
  <c r="G225" i="4"/>
  <c r="CG224" i="4" s="1"/>
  <c r="G226" i="4"/>
  <c r="CG225" i="4" s="1"/>
  <c r="G227" i="4"/>
  <c r="CG226" i="4" s="1"/>
  <c r="G228" i="4"/>
  <c r="CG227" i="4" s="1"/>
  <c r="G229" i="4"/>
  <c r="CG228" i="4" s="1"/>
  <c r="G230" i="4"/>
  <c r="CG229" i="4" s="1"/>
  <c r="G231" i="4"/>
  <c r="G232" i="4"/>
  <c r="CG231" i="4" s="1"/>
  <c r="G233" i="4"/>
  <c r="CG232" i="4" s="1"/>
  <c r="G234" i="4"/>
  <c r="CG233" i="4" s="1"/>
  <c r="G235" i="4"/>
  <c r="CG234" i="4" s="1"/>
  <c r="G236" i="4"/>
  <c r="CG235" i="4" s="1"/>
  <c r="G237" i="4"/>
  <c r="CG236" i="4" s="1"/>
  <c r="G238" i="4"/>
  <c r="CG237" i="4" s="1"/>
  <c r="G239" i="4"/>
  <c r="G240" i="4"/>
  <c r="CG239" i="4" s="1"/>
  <c r="G241" i="4"/>
  <c r="CG240" i="4" s="1"/>
  <c r="G242" i="4"/>
  <c r="CG241" i="4" s="1"/>
  <c r="G243" i="4"/>
  <c r="CG242" i="4" s="1"/>
  <c r="G244" i="4"/>
  <c r="CG243" i="4" s="1"/>
  <c r="G245" i="4"/>
  <c r="CG244" i="4" s="1"/>
  <c r="G246" i="4"/>
  <c r="CG245" i="4" s="1"/>
  <c r="G247" i="4"/>
  <c r="G248" i="4"/>
  <c r="CG247" i="4" s="1"/>
  <c r="G249" i="4"/>
  <c r="CG248" i="4" s="1"/>
  <c r="G250" i="4"/>
  <c r="CG249" i="4" s="1"/>
  <c r="G251" i="4"/>
  <c r="CG250" i="4" s="1"/>
  <c r="G252" i="4"/>
  <c r="CG251" i="4" s="1"/>
  <c r="G253" i="4"/>
  <c r="CG252" i="4" s="1"/>
  <c r="G254" i="4"/>
  <c r="CG253" i="4" s="1"/>
  <c r="G255" i="4"/>
  <c r="G256" i="4"/>
  <c r="CG255" i="4" s="1"/>
  <c r="G257" i="4"/>
  <c r="CG256" i="4" s="1"/>
  <c r="G258" i="4"/>
  <c r="CG257" i="4" s="1"/>
  <c r="G259" i="4"/>
  <c r="CG258" i="4" s="1"/>
  <c r="G260" i="4"/>
  <c r="CG259" i="4" s="1"/>
  <c r="G261" i="4"/>
  <c r="CG260" i="4" s="1"/>
  <c r="G262" i="4"/>
  <c r="CG261" i="4" s="1"/>
  <c r="G263" i="4"/>
  <c r="CG262" i="4" s="1"/>
  <c r="G264" i="4"/>
  <c r="CG263" i="4" s="1"/>
  <c r="G265" i="4"/>
  <c r="CG264" i="4" s="1"/>
  <c r="G266" i="4"/>
  <c r="CG265" i="4" s="1"/>
  <c r="G267" i="4"/>
  <c r="CG266" i="4" s="1"/>
  <c r="G268" i="4"/>
  <c r="CG267" i="4" s="1"/>
  <c r="G269" i="4"/>
  <c r="CG268" i="4" s="1"/>
  <c r="G270" i="4"/>
  <c r="CG269" i="4" s="1"/>
  <c r="G271" i="4"/>
  <c r="CG270" i="4" s="1"/>
  <c r="G272" i="4"/>
  <c r="CG271" i="4" s="1"/>
  <c r="G273" i="4"/>
  <c r="CG272" i="4" s="1"/>
  <c r="G274" i="4"/>
  <c r="CG273" i="4" s="1"/>
  <c r="G275" i="4"/>
  <c r="CG274" i="4" s="1"/>
  <c r="G276" i="4"/>
  <c r="CG275" i="4" s="1"/>
  <c r="G277" i="4"/>
  <c r="CG276" i="4" s="1"/>
  <c r="G278" i="4"/>
  <c r="CG277" i="4" s="1"/>
  <c r="G279" i="4"/>
  <c r="CG278" i="4" s="1"/>
  <c r="G280" i="4"/>
  <c r="CG279" i="4" s="1"/>
  <c r="G281" i="4"/>
  <c r="CG280" i="4" s="1"/>
  <c r="G282" i="4"/>
  <c r="CG281" i="4" s="1"/>
  <c r="G283" i="4"/>
  <c r="CG282" i="4" s="1"/>
  <c r="G284" i="4"/>
  <c r="CG283" i="4" s="1"/>
  <c r="G285" i="4"/>
  <c r="CG284" i="4" s="1"/>
  <c r="G286" i="4"/>
  <c r="CG285" i="4" s="1"/>
  <c r="G287" i="4"/>
  <c r="CG286" i="4" s="1"/>
  <c r="G288" i="4"/>
  <c r="CG287" i="4" s="1"/>
  <c r="G289" i="4"/>
  <c r="CG288" i="4" s="1"/>
  <c r="G290" i="4"/>
  <c r="CG289" i="4" s="1"/>
  <c r="G291" i="4"/>
  <c r="CG290" i="4" s="1"/>
  <c r="G292" i="4"/>
  <c r="CG291" i="4" s="1"/>
  <c r="G293" i="4"/>
  <c r="CG292" i="4" s="1"/>
  <c r="G294" i="4"/>
  <c r="CG293" i="4" s="1"/>
  <c r="G295" i="4"/>
  <c r="CG294" i="4" s="1"/>
  <c r="G296" i="4"/>
  <c r="CG295" i="4" s="1"/>
  <c r="G297" i="4"/>
  <c r="CG296" i="4" s="1"/>
  <c r="G298" i="4"/>
  <c r="CG297" i="4" s="1"/>
  <c r="G299" i="4"/>
  <c r="CG298" i="4" s="1"/>
  <c r="G300" i="4"/>
  <c r="CG299" i="4" s="1"/>
  <c r="G301" i="4"/>
  <c r="CG300" i="4" s="1"/>
  <c r="G302" i="4"/>
  <c r="CG301" i="4" s="1"/>
  <c r="G303" i="4"/>
  <c r="CG302" i="4" s="1"/>
  <c r="G4" i="4"/>
  <c r="CG3" i="4" s="1"/>
  <c r="AQ303" i="4"/>
  <c r="E303" i="4"/>
  <c r="CJ302" i="4"/>
  <c r="AQ302" i="4"/>
  <c r="E302" i="4"/>
  <c r="CJ301" i="4"/>
  <c r="AQ301" i="4"/>
  <c r="E301" i="4"/>
  <c r="CJ300" i="4"/>
  <c r="AQ300" i="4"/>
  <c r="E300" i="4"/>
  <c r="CJ299" i="4"/>
  <c r="AQ299" i="4"/>
  <c r="E299" i="4"/>
  <c r="CJ298" i="4"/>
  <c r="AQ298" i="4"/>
  <c r="E298" i="4"/>
  <c r="CJ297" i="4"/>
  <c r="AQ297" i="4"/>
  <c r="E297" i="4"/>
  <c r="CJ296" i="4"/>
  <c r="AQ296" i="4"/>
  <c r="E296" i="4"/>
  <c r="CJ295" i="4"/>
  <c r="AQ295" i="4"/>
  <c r="E295" i="4"/>
  <c r="CJ294" i="4"/>
  <c r="AQ294" i="4"/>
  <c r="E294" i="4"/>
  <c r="CJ293" i="4"/>
  <c r="AQ293" i="4"/>
  <c r="E293" i="4"/>
  <c r="CJ292" i="4"/>
  <c r="AQ292" i="4"/>
  <c r="E292" i="4"/>
  <c r="CJ291" i="4"/>
  <c r="AQ291" i="4"/>
  <c r="E291" i="4"/>
  <c r="CJ290" i="4"/>
  <c r="AQ290" i="4"/>
  <c r="E290" i="4"/>
  <c r="CJ289" i="4"/>
  <c r="AQ289" i="4"/>
  <c r="E289" i="4"/>
  <c r="CJ288" i="4"/>
  <c r="AQ288" i="4"/>
  <c r="E288" i="4"/>
  <c r="CJ287" i="4"/>
  <c r="AQ287" i="4"/>
  <c r="E287" i="4"/>
  <c r="CJ286" i="4"/>
  <c r="AQ286" i="4"/>
  <c r="E286" i="4"/>
  <c r="CJ285" i="4"/>
  <c r="AQ285" i="4"/>
  <c r="E285" i="4"/>
  <c r="CJ284" i="4"/>
  <c r="AQ284" i="4"/>
  <c r="E284" i="4"/>
  <c r="CJ283" i="4"/>
  <c r="AQ283" i="4"/>
  <c r="E283" i="4"/>
  <c r="CJ282" i="4"/>
  <c r="AQ282" i="4"/>
  <c r="E282" i="4"/>
  <c r="CJ281" i="4"/>
  <c r="AQ281" i="4"/>
  <c r="E281" i="4"/>
  <c r="CJ280" i="4"/>
  <c r="AQ280" i="4"/>
  <c r="E280" i="4"/>
  <c r="CJ279" i="4"/>
  <c r="AQ279" i="4"/>
  <c r="E279" i="4"/>
  <c r="CJ278" i="4"/>
  <c r="AQ278" i="4"/>
  <c r="E278" i="4"/>
  <c r="CJ277" i="4"/>
  <c r="AQ277" i="4"/>
  <c r="E277" i="4"/>
  <c r="CJ276" i="4"/>
  <c r="AQ276" i="4"/>
  <c r="E276" i="4"/>
  <c r="CJ275" i="4"/>
  <c r="AQ275" i="4"/>
  <c r="E275" i="4"/>
  <c r="CJ274" i="4"/>
  <c r="AQ274" i="4"/>
  <c r="E274" i="4"/>
  <c r="CJ273" i="4"/>
  <c r="AQ273" i="4"/>
  <c r="E273" i="4"/>
  <c r="CJ272" i="4"/>
  <c r="AQ272" i="4"/>
  <c r="E272" i="4"/>
  <c r="CJ271" i="4"/>
  <c r="AQ271" i="4"/>
  <c r="E271" i="4"/>
  <c r="CJ270" i="4"/>
  <c r="AQ270" i="4"/>
  <c r="E270" i="4"/>
  <c r="CJ269" i="4"/>
  <c r="AQ269" i="4"/>
  <c r="E269" i="4"/>
  <c r="CJ268" i="4"/>
  <c r="AQ268" i="4"/>
  <c r="E268" i="4"/>
  <c r="CJ267" i="4"/>
  <c r="AQ267" i="4"/>
  <c r="E267" i="4"/>
  <c r="CJ266" i="4"/>
  <c r="AQ266" i="4"/>
  <c r="E266" i="4"/>
  <c r="CJ265" i="4"/>
  <c r="AQ265" i="4"/>
  <c r="E265" i="4"/>
  <c r="CJ264" i="4"/>
  <c r="AQ264" i="4"/>
  <c r="E264" i="4"/>
  <c r="CJ263" i="4"/>
  <c r="AQ263" i="4"/>
  <c r="E263" i="4"/>
  <c r="CJ262" i="4"/>
  <c r="AQ262" i="4"/>
  <c r="E262" i="4"/>
  <c r="CJ261" i="4"/>
  <c r="AQ261" i="4"/>
  <c r="E261" i="4"/>
  <c r="CJ260" i="4"/>
  <c r="AQ260" i="4"/>
  <c r="E260" i="4"/>
  <c r="CJ259" i="4"/>
  <c r="AQ259" i="4"/>
  <c r="E259" i="4"/>
  <c r="CJ258" i="4"/>
  <c r="AQ258" i="4"/>
  <c r="E258" i="4"/>
  <c r="CJ257" i="4"/>
  <c r="AQ257" i="4"/>
  <c r="E257" i="4"/>
  <c r="CJ256" i="4"/>
  <c r="AQ256" i="4"/>
  <c r="E256" i="4"/>
  <c r="CJ255" i="4"/>
  <c r="AQ255" i="4"/>
  <c r="E255" i="4"/>
  <c r="CJ254" i="4"/>
  <c r="AQ254" i="4"/>
  <c r="E254" i="4"/>
  <c r="CJ253" i="4"/>
  <c r="AQ253" i="4"/>
  <c r="E253" i="4"/>
  <c r="CJ252" i="4"/>
  <c r="AQ252" i="4"/>
  <c r="E252" i="4"/>
  <c r="CJ251" i="4"/>
  <c r="AQ251" i="4"/>
  <c r="E251" i="4"/>
  <c r="CJ250" i="4"/>
  <c r="AQ250" i="4"/>
  <c r="E250" i="4"/>
  <c r="CJ249" i="4"/>
  <c r="AQ249" i="4"/>
  <c r="E249" i="4"/>
  <c r="CJ248" i="4"/>
  <c r="AQ248" i="4"/>
  <c r="E248" i="4"/>
  <c r="CJ247" i="4"/>
  <c r="AQ247" i="4"/>
  <c r="E247" i="4"/>
  <c r="CJ246" i="4"/>
  <c r="AQ246" i="4"/>
  <c r="E246" i="4"/>
  <c r="CJ245" i="4"/>
  <c r="AQ245" i="4"/>
  <c r="E245" i="4"/>
  <c r="CJ244" i="4"/>
  <c r="AQ244" i="4"/>
  <c r="E244" i="4"/>
  <c r="CJ243" i="4"/>
  <c r="AQ243" i="4"/>
  <c r="E243" i="4"/>
  <c r="CJ242" i="4"/>
  <c r="AQ242" i="4"/>
  <c r="E242" i="4"/>
  <c r="CJ241" i="4"/>
  <c r="AQ241" i="4"/>
  <c r="E241" i="4"/>
  <c r="CJ240" i="4"/>
  <c r="AQ240" i="4"/>
  <c r="E240" i="4"/>
  <c r="CJ239" i="4"/>
  <c r="AQ239" i="4"/>
  <c r="E239" i="4"/>
  <c r="CJ238" i="4"/>
  <c r="AQ238" i="4"/>
  <c r="E238" i="4"/>
  <c r="CJ237" i="4"/>
  <c r="AQ237" i="4"/>
  <c r="E237" i="4"/>
  <c r="CJ236" i="4"/>
  <c r="AQ236" i="4"/>
  <c r="E236" i="4"/>
  <c r="CJ235" i="4"/>
  <c r="AQ235" i="4"/>
  <c r="E235" i="4"/>
  <c r="CJ234" i="4"/>
  <c r="AQ234" i="4"/>
  <c r="E234" i="4"/>
  <c r="CJ233" i="4"/>
  <c r="AQ233" i="4"/>
  <c r="E233" i="4"/>
  <c r="CJ232" i="4"/>
  <c r="AQ232" i="4"/>
  <c r="E232" i="4"/>
  <c r="CJ231" i="4"/>
  <c r="AQ231" i="4"/>
  <c r="E231" i="4"/>
  <c r="CJ230" i="4"/>
  <c r="AQ230" i="4"/>
  <c r="E230" i="4"/>
  <c r="CJ229" i="4"/>
  <c r="AQ229" i="4"/>
  <c r="E229" i="4"/>
  <c r="CJ228" i="4"/>
  <c r="AQ228" i="4"/>
  <c r="E228" i="4"/>
  <c r="CJ227" i="4"/>
  <c r="AQ227" i="4"/>
  <c r="E227" i="4"/>
  <c r="CJ226" i="4"/>
  <c r="AQ226" i="4"/>
  <c r="E226" i="4"/>
  <c r="CJ225" i="4"/>
  <c r="AQ225" i="4"/>
  <c r="E225" i="4"/>
  <c r="CJ224" i="4"/>
  <c r="AQ224" i="4"/>
  <c r="E224" i="4"/>
  <c r="CJ223" i="4"/>
  <c r="AQ223" i="4"/>
  <c r="E223" i="4"/>
  <c r="CJ222" i="4"/>
  <c r="AQ222" i="4"/>
  <c r="E222" i="4"/>
  <c r="CJ221" i="4"/>
  <c r="AQ221" i="4"/>
  <c r="E221" i="4"/>
  <c r="CJ220" i="4"/>
  <c r="AQ220" i="4"/>
  <c r="E220" i="4"/>
  <c r="CJ219" i="4"/>
  <c r="AQ219" i="4"/>
  <c r="E219" i="4"/>
  <c r="CJ218" i="4"/>
  <c r="AQ218" i="4"/>
  <c r="E218" i="4"/>
  <c r="CJ217" i="4"/>
  <c r="AQ217" i="4"/>
  <c r="E217" i="4"/>
  <c r="CJ216" i="4"/>
  <c r="AQ216" i="4"/>
  <c r="E216" i="4"/>
  <c r="CJ215" i="4"/>
  <c r="AQ215" i="4"/>
  <c r="E215" i="4"/>
  <c r="CJ214" i="4"/>
  <c r="AQ214" i="4"/>
  <c r="E214" i="4"/>
  <c r="CJ213" i="4"/>
  <c r="AQ213" i="4"/>
  <c r="E213" i="4"/>
  <c r="CJ212" i="4"/>
  <c r="AQ212" i="4"/>
  <c r="E212" i="4"/>
  <c r="CJ211" i="4"/>
  <c r="AQ211" i="4"/>
  <c r="E211" i="4"/>
  <c r="CJ210" i="4"/>
  <c r="AQ210" i="4"/>
  <c r="E210" i="4"/>
  <c r="CJ209" i="4"/>
  <c r="AQ209" i="4"/>
  <c r="E209" i="4"/>
  <c r="CJ208" i="4"/>
  <c r="AQ208" i="4"/>
  <c r="E208" i="4"/>
  <c r="CJ207" i="4"/>
  <c r="AQ207" i="4"/>
  <c r="E207" i="4"/>
  <c r="CJ206" i="4"/>
  <c r="AQ206" i="4"/>
  <c r="E206" i="4"/>
  <c r="CJ205" i="4"/>
  <c r="AQ205" i="4"/>
  <c r="E205" i="4"/>
  <c r="CJ204" i="4"/>
  <c r="AQ204" i="4"/>
  <c r="E204" i="4"/>
  <c r="CJ203" i="4"/>
  <c r="AQ203" i="4"/>
  <c r="E203" i="4"/>
  <c r="CJ202" i="4"/>
  <c r="AQ202" i="4"/>
  <c r="E202" i="4"/>
  <c r="CJ201" i="4"/>
  <c r="AQ201" i="4"/>
  <c r="E201" i="4"/>
  <c r="CJ200" i="4"/>
  <c r="AQ200" i="4"/>
  <c r="E200" i="4"/>
  <c r="CJ199" i="4"/>
  <c r="AQ199" i="4"/>
  <c r="E199" i="4"/>
  <c r="CJ198" i="4"/>
  <c r="AQ198" i="4"/>
  <c r="E198" i="4"/>
  <c r="CJ197" i="4"/>
  <c r="AQ197" i="4"/>
  <c r="E197" i="4"/>
  <c r="CJ196" i="4"/>
  <c r="AQ196" i="4"/>
  <c r="E196" i="4"/>
  <c r="CJ195" i="4"/>
  <c r="AQ195" i="4"/>
  <c r="E195" i="4"/>
  <c r="CJ194" i="4"/>
  <c r="AQ194" i="4"/>
  <c r="E194" i="4"/>
  <c r="CJ193" i="4"/>
  <c r="AQ193" i="4"/>
  <c r="E193" i="4"/>
  <c r="CJ192" i="4"/>
  <c r="AQ192" i="4"/>
  <c r="E192" i="4"/>
  <c r="CJ191" i="4"/>
  <c r="AQ191" i="4"/>
  <c r="E191" i="4"/>
  <c r="CJ190" i="4"/>
  <c r="AQ190" i="4"/>
  <c r="E190" i="4"/>
  <c r="CJ189" i="4"/>
  <c r="AQ189" i="4"/>
  <c r="E189" i="4"/>
  <c r="CJ188" i="4"/>
  <c r="AQ188" i="4"/>
  <c r="E188" i="4"/>
  <c r="CJ187" i="4"/>
  <c r="AQ187" i="4"/>
  <c r="E187" i="4"/>
  <c r="CJ186" i="4"/>
  <c r="AQ186" i="4"/>
  <c r="E186" i="4"/>
  <c r="CJ185" i="4"/>
  <c r="AQ185" i="4"/>
  <c r="E185" i="4"/>
  <c r="CJ184" i="4"/>
  <c r="AQ184" i="4"/>
  <c r="E184" i="4"/>
  <c r="CJ183" i="4"/>
  <c r="AQ183" i="4"/>
  <c r="E183" i="4"/>
  <c r="CJ182" i="4"/>
  <c r="AQ182" i="4"/>
  <c r="E182" i="4"/>
  <c r="CJ181" i="4"/>
  <c r="AQ181" i="4"/>
  <c r="E181" i="4"/>
  <c r="CJ180" i="4"/>
  <c r="AQ180" i="4"/>
  <c r="E180" i="4"/>
  <c r="CJ179" i="4"/>
  <c r="AQ179" i="4"/>
  <c r="E179" i="4"/>
  <c r="CJ178" i="4"/>
  <c r="AQ178" i="4"/>
  <c r="E178" i="4"/>
  <c r="CJ177" i="4"/>
  <c r="AQ177" i="4"/>
  <c r="E177" i="4"/>
  <c r="CJ176" i="4"/>
  <c r="AQ176" i="4"/>
  <c r="E176" i="4"/>
  <c r="CJ175" i="4"/>
  <c r="AQ175" i="4"/>
  <c r="E175" i="4"/>
  <c r="CJ174" i="4"/>
  <c r="AQ174" i="4"/>
  <c r="E174" i="4"/>
  <c r="CJ173" i="4"/>
  <c r="AQ173" i="4"/>
  <c r="E173" i="4"/>
  <c r="CJ172" i="4"/>
  <c r="AQ172" i="4"/>
  <c r="E172" i="4"/>
  <c r="CJ171" i="4"/>
  <c r="AQ171" i="4"/>
  <c r="E171" i="4"/>
  <c r="CJ170" i="4"/>
  <c r="AQ170" i="4"/>
  <c r="E170" i="4"/>
  <c r="CJ169" i="4"/>
  <c r="AQ169" i="4"/>
  <c r="E169" i="4"/>
  <c r="CJ168" i="4"/>
  <c r="AQ168" i="4"/>
  <c r="E168" i="4"/>
  <c r="CJ167" i="4"/>
  <c r="AQ167" i="4"/>
  <c r="E167" i="4"/>
  <c r="CJ166" i="4"/>
  <c r="AQ166" i="4"/>
  <c r="E166" i="4"/>
  <c r="CJ165" i="4"/>
  <c r="AQ165" i="4"/>
  <c r="E165" i="4"/>
  <c r="CJ164" i="4"/>
  <c r="AQ164" i="4"/>
  <c r="E164" i="4"/>
  <c r="CJ163" i="4"/>
  <c r="AQ163" i="4"/>
  <c r="E163" i="4"/>
  <c r="CJ162" i="4"/>
  <c r="AQ162" i="4"/>
  <c r="E162" i="4"/>
  <c r="CJ161" i="4"/>
  <c r="AQ161" i="4"/>
  <c r="E161" i="4"/>
  <c r="CJ160" i="4"/>
  <c r="AQ160" i="4"/>
  <c r="E160" i="4"/>
  <c r="CJ159" i="4"/>
  <c r="AQ159" i="4"/>
  <c r="E159" i="4"/>
  <c r="CJ158" i="4"/>
  <c r="AQ158" i="4"/>
  <c r="E158" i="4"/>
  <c r="CJ157" i="4"/>
  <c r="AQ157" i="4"/>
  <c r="E157" i="4"/>
  <c r="CJ156" i="4"/>
  <c r="AQ156" i="4"/>
  <c r="E156" i="4"/>
  <c r="CJ155" i="4"/>
  <c r="AQ155" i="4"/>
  <c r="E155" i="4"/>
  <c r="CJ154" i="4"/>
  <c r="AQ154" i="4"/>
  <c r="E154" i="4"/>
  <c r="CJ153" i="4"/>
  <c r="AQ153" i="4"/>
  <c r="E153" i="4"/>
  <c r="CJ152" i="4"/>
  <c r="AQ152" i="4"/>
  <c r="E152" i="4"/>
  <c r="CJ151" i="4"/>
  <c r="AQ151" i="4"/>
  <c r="E151" i="4"/>
  <c r="CJ150" i="4"/>
  <c r="AQ150" i="4"/>
  <c r="E150" i="4"/>
  <c r="CJ149" i="4"/>
  <c r="AQ149" i="4"/>
  <c r="E149" i="4"/>
  <c r="CJ148" i="4"/>
  <c r="AQ148" i="4"/>
  <c r="E148" i="4"/>
  <c r="CJ147" i="4"/>
  <c r="AQ147" i="4"/>
  <c r="E147" i="4"/>
  <c r="CJ146" i="4"/>
  <c r="AQ146" i="4"/>
  <c r="E146" i="4"/>
  <c r="CJ145" i="4"/>
  <c r="AQ145" i="4"/>
  <c r="E145" i="4"/>
  <c r="CJ144" i="4"/>
  <c r="AQ144" i="4"/>
  <c r="E144" i="4"/>
  <c r="CJ143" i="4"/>
  <c r="AQ143" i="4"/>
  <c r="E143" i="4"/>
  <c r="CJ142" i="4"/>
  <c r="AQ142" i="4"/>
  <c r="E142" i="4"/>
  <c r="CJ141" i="4"/>
  <c r="AQ141" i="4"/>
  <c r="E141" i="4"/>
  <c r="CJ140" i="4"/>
  <c r="AQ140" i="4"/>
  <c r="E140" i="4"/>
  <c r="CJ139" i="4"/>
  <c r="AQ139" i="4"/>
  <c r="E139" i="4"/>
  <c r="CJ138" i="4"/>
  <c r="AQ138" i="4"/>
  <c r="E138" i="4"/>
  <c r="CJ137" i="4"/>
  <c r="AQ137" i="4"/>
  <c r="E137" i="4"/>
  <c r="CJ136" i="4"/>
  <c r="AQ136" i="4"/>
  <c r="E136" i="4"/>
  <c r="CJ135" i="4"/>
  <c r="AQ135" i="4"/>
  <c r="E135" i="4"/>
  <c r="CJ134" i="4"/>
  <c r="AQ134" i="4"/>
  <c r="E134" i="4"/>
  <c r="CJ133" i="4"/>
  <c r="AQ133" i="4"/>
  <c r="E133" i="4"/>
  <c r="CJ132" i="4"/>
  <c r="AQ132" i="4"/>
  <c r="E132" i="4"/>
  <c r="CJ131" i="4"/>
  <c r="AQ131" i="4"/>
  <c r="E131" i="4"/>
  <c r="CJ130" i="4"/>
  <c r="AQ130" i="4"/>
  <c r="E130" i="4"/>
  <c r="CJ129" i="4"/>
  <c r="AQ129" i="4"/>
  <c r="E129" i="4"/>
  <c r="CJ128" i="4"/>
  <c r="AQ128" i="4"/>
  <c r="E128" i="4"/>
  <c r="CJ127" i="4"/>
  <c r="AQ127" i="4"/>
  <c r="E127" i="4"/>
  <c r="CJ126" i="4"/>
  <c r="AQ126" i="4"/>
  <c r="E126" i="4"/>
  <c r="CJ125" i="4"/>
  <c r="AQ125" i="4"/>
  <c r="E125" i="4"/>
  <c r="CJ124" i="4"/>
  <c r="AQ124" i="4"/>
  <c r="E124" i="4"/>
  <c r="CJ123" i="4"/>
  <c r="AQ123" i="4"/>
  <c r="E123" i="4"/>
  <c r="CJ122" i="4"/>
  <c r="AQ122" i="4"/>
  <c r="E122" i="4"/>
  <c r="CJ121" i="4"/>
  <c r="AQ121" i="4"/>
  <c r="E121" i="4"/>
  <c r="CJ120" i="4"/>
  <c r="AQ120" i="4"/>
  <c r="E120" i="4"/>
  <c r="CJ119" i="4"/>
  <c r="AQ119" i="4"/>
  <c r="E119" i="4"/>
  <c r="CJ118" i="4"/>
  <c r="AQ118" i="4"/>
  <c r="E118" i="4"/>
  <c r="CJ117" i="4"/>
  <c r="AQ117" i="4"/>
  <c r="E117" i="4"/>
  <c r="CJ116" i="4"/>
  <c r="AQ116" i="4"/>
  <c r="E116" i="4"/>
  <c r="CJ115" i="4"/>
  <c r="AQ115" i="4"/>
  <c r="E115" i="4"/>
  <c r="CJ114" i="4"/>
  <c r="AQ114" i="4"/>
  <c r="E114" i="4"/>
  <c r="CJ113" i="4"/>
  <c r="AQ113" i="4"/>
  <c r="E113" i="4"/>
  <c r="CJ112" i="4"/>
  <c r="AQ112" i="4"/>
  <c r="E112" i="4"/>
  <c r="CJ111" i="4"/>
  <c r="AQ111" i="4"/>
  <c r="E111" i="4"/>
  <c r="CJ110" i="4"/>
  <c r="AQ110" i="4"/>
  <c r="E110" i="4"/>
  <c r="CJ109" i="4"/>
  <c r="AQ109" i="4"/>
  <c r="E109" i="4"/>
  <c r="CJ108" i="4"/>
  <c r="AQ108" i="4"/>
  <c r="E108" i="4"/>
  <c r="CJ107" i="4"/>
  <c r="AQ107" i="4"/>
  <c r="E107" i="4"/>
  <c r="CJ106" i="4"/>
  <c r="AQ106" i="4"/>
  <c r="E106" i="4"/>
  <c r="CJ105" i="4"/>
  <c r="AQ105" i="4"/>
  <c r="E105" i="4"/>
  <c r="CJ104" i="4"/>
  <c r="AQ104" i="4"/>
  <c r="E104" i="4"/>
  <c r="CJ103" i="4"/>
  <c r="AQ103" i="4"/>
  <c r="E103" i="4"/>
  <c r="CJ102" i="4"/>
  <c r="AQ102" i="4"/>
  <c r="E102" i="4"/>
  <c r="CJ101" i="4"/>
  <c r="AQ101" i="4"/>
  <c r="E101" i="4"/>
  <c r="CJ100" i="4"/>
  <c r="AQ100" i="4"/>
  <c r="E100" i="4"/>
  <c r="CJ99" i="4"/>
  <c r="AQ99" i="4"/>
  <c r="E99" i="4"/>
  <c r="CJ98" i="4"/>
  <c r="AQ98" i="4"/>
  <c r="E98" i="4"/>
  <c r="CJ97" i="4"/>
  <c r="AQ97" i="4"/>
  <c r="E97" i="4"/>
  <c r="CJ96" i="4"/>
  <c r="AQ96" i="4"/>
  <c r="E96" i="4"/>
  <c r="CJ95" i="4"/>
  <c r="AQ95" i="4"/>
  <c r="E95" i="4"/>
  <c r="CJ94" i="4"/>
  <c r="AQ94" i="4"/>
  <c r="E94" i="4"/>
  <c r="CJ93" i="4"/>
  <c r="AQ93" i="4"/>
  <c r="E93" i="4"/>
  <c r="CJ92" i="4"/>
  <c r="AQ92" i="4"/>
  <c r="E92" i="4"/>
  <c r="CJ91" i="4"/>
  <c r="AQ91" i="4"/>
  <c r="E91" i="4"/>
  <c r="CJ90" i="4"/>
  <c r="AQ90" i="4"/>
  <c r="E90" i="4"/>
  <c r="CJ89" i="4"/>
  <c r="AQ89" i="4"/>
  <c r="E89" i="4"/>
  <c r="CJ88" i="4"/>
  <c r="AQ88" i="4"/>
  <c r="E88" i="4"/>
  <c r="CJ87" i="4"/>
  <c r="AQ87" i="4"/>
  <c r="E87" i="4"/>
  <c r="CJ86" i="4"/>
  <c r="AQ86" i="4"/>
  <c r="E86" i="4"/>
  <c r="CJ85" i="4"/>
  <c r="AQ85" i="4"/>
  <c r="E85" i="4"/>
  <c r="CJ84" i="4"/>
  <c r="AQ84" i="4"/>
  <c r="E84" i="4"/>
  <c r="CJ83" i="4"/>
  <c r="AQ83" i="4"/>
  <c r="E83" i="4"/>
  <c r="CJ82" i="4"/>
  <c r="AQ82" i="4"/>
  <c r="E82" i="4"/>
  <c r="CJ81" i="4"/>
  <c r="AQ81" i="4"/>
  <c r="E81" i="4"/>
  <c r="CJ80" i="4"/>
  <c r="AQ80" i="4"/>
  <c r="E80" i="4"/>
  <c r="CJ79" i="4"/>
  <c r="AQ79" i="4"/>
  <c r="E79" i="4"/>
  <c r="CJ78" i="4"/>
  <c r="AQ78" i="4"/>
  <c r="E78" i="4"/>
  <c r="CJ77" i="4"/>
  <c r="AQ77" i="4"/>
  <c r="E77" i="4"/>
  <c r="CJ76" i="4"/>
  <c r="AQ76" i="4"/>
  <c r="E76" i="4"/>
  <c r="CJ75" i="4"/>
  <c r="AQ75" i="4"/>
  <c r="E75" i="4"/>
  <c r="CJ74" i="4"/>
  <c r="AQ74" i="4"/>
  <c r="E74" i="4"/>
  <c r="CJ73" i="4"/>
  <c r="AQ73" i="4"/>
  <c r="E73" i="4"/>
  <c r="CJ72" i="4"/>
  <c r="AQ72" i="4"/>
  <c r="E72" i="4"/>
  <c r="CJ71" i="4"/>
  <c r="AQ71" i="4"/>
  <c r="E71" i="4"/>
  <c r="CJ70" i="4"/>
  <c r="AQ70" i="4"/>
  <c r="E70" i="4"/>
  <c r="CJ69" i="4"/>
  <c r="AQ69" i="4"/>
  <c r="E69" i="4"/>
  <c r="CJ68" i="4"/>
  <c r="AQ68" i="4"/>
  <c r="E68" i="4"/>
  <c r="CJ67" i="4"/>
  <c r="AQ67" i="4"/>
  <c r="E67" i="4"/>
  <c r="CJ66" i="4"/>
  <c r="AQ66" i="4"/>
  <c r="E66" i="4"/>
  <c r="CJ65" i="4"/>
  <c r="AQ65" i="4"/>
  <c r="E65" i="4"/>
  <c r="CJ64" i="4"/>
  <c r="AQ64" i="4"/>
  <c r="E64" i="4"/>
  <c r="CJ63" i="4"/>
  <c r="AQ63" i="4"/>
  <c r="E63" i="4"/>
  <c r="CJ62" i="4"/>
  <c r="AQ62" i="4"/>
  <c r="E62" i="4"/>
  <c r="CJ61" i="4"/>
  <c r="AQ61" i="4"/>
  <c r="E61" i="4"/>
  <c r="CJ60" i="4"/>
  <c r="AQ60" i="4"/>
  <c r="E60" i="4"/>
  <c r="CJ59" i="4"/>
  <c r="AQ59" i="4"/>
  <c r="E59" i="4"/>
  <c r="CJ58" i="4"/>
  <c r="AQ58" i="4"/>
  <c r="E58" i="4"/>
  <c r="CJ57" i="4"/>
  <c r="AQ57" i="4"/>
  <c r="E57" i="4"/>
  <c r="CJ56" i="4"/>
  <c r="AQ56" i="4"/>
  <c r="E56" i="4"/>
  <c r="CJ55" i="4"/>
  <c r="AQ55" i="4"/>
  <c r="E55" i="4"/>
  <c r="CJ54" i="4"/>
  <c r="AQ54" i="4"/>
  <c r="E54" i="4"/>
  <c r="CJ53" i="4"/>
  <c r="AQ53" i="4"/>
  <c r="E53" i="4"/>
  <c r="CJ52" i="4"/>
  <c r="AQ52" i="4"/>
  <c r="E52" i="4"/>
  <c r="CJ51" i="4"/>
  <c r="AQ51" i="4"/>
  <c r="E51" i="4"/>
  <c r="CJ50" i="4"/>
  <c r="AQ50" i="4"/>
  <c r="E50" i="4"/>
  <c r="CJ49" i="4"/>
  <c r="AQ49" i="4"/>
  <c r="E49" i="4"/>
  <c r="CJ48" i="4"/>
  <c r="AQ48" i="4"/>
  <c r="E48" i="4"/>
  <c r="CJ47" i="4"/>
  <c r="AQ47" i="4"/>
  <c r="E47" i="4"/>
  <c r="CJ46" i="4"/>
  <c r="AQ46" i="4"/>
  <c r="E46" i="4"/>
  <c r="CJ45" i="4"/>
  <c r="AQ45" i="4"/>
  <c r="E45" i="4"/>
  <c r="CJ44" i="4"/>
  <c r="AQ44" i="4"/>
  <c r="E44" i="4"/>
  <c r="CJ43" i="4"/>
  <c r="AQ43" i="4"/>
  <c r="E43" i="4"/>
  <c r="CJ42" i="4"/>
  <c r="AQ42" i="4"/>
  <c r="E42" i="4"/>
  <c r="CJ41" i="4"/>
  <c r="AQ41" i="4"/>
  <c r="E41" i="4"/>
  <c r="CJ40" i="4"/>
  <c r="AQ40" i="4"/>
  <c r="E40" i="4"/>
  <c r="CJ39" i="4"/>
  <c r="AQ39" i="4"/>
  <c r="E39" i="4"/>
  <c r="CJ38" i="4"/>
  <c r="AQ38" i="4"/>
  <c r="E38" i="4"/>
  <c r="CJ37" i="4"/>
  <c r="AQ37" i="4"/>
  <c r="E37" i="4"/>
  <c r="CJ36" i="4"/>
  <c r="AQ36" i="4"/>
  <c r="E36" i="4"/>
  <c r="CJ35" i="4"/>
  <c r="AQ35" i="4"/>
  <c r="E35" i="4"/>
  <c r="CJ34" i="4"/>
  <c r="AQ34" i="4"/>
  <c r="E34" i="4"/>
  <c r="CJ33" i="4"/>
  <c r="AQ33" i="4"/>
  <c r="E33" i="4"/>
  <c r="CJ32" i="4"/>
  <c r="AQ32" i="4"/>
  <c r="E32" i="4"/>
  <c r="CJ31" i="4"/>
  <c r="AQ31" i="4"/>
  <c r="E31" i="4"/>
  <c r="CJ30" i="4"/>
  <c r="AQ30" i="4"/>
  <c r="E30" i="4"/>
  <c r="CJ29" i="4"/>
  <c r="AQ29" i="4"/>
  <c r="E29" i="4"/>
  <c r="CJ28" i="4"/>
  <c r="AQ28" i="4"/>
  <c r="E28" i="4"/>
  <c r="CJ27" i="4"/>
  <c r="AQ27" i="4"/>
  <c r="E27" i="4"/>
  <c r="CJ26" i="4"/>
  <c r="AQ26" i="4"/>
  <c r="E26" i="4"/>
  <c r="CJ25" i="4"/>
  <c r="AQ25" i="4"/>
  <c r="E25" i="4"/>
  <c r="CJ24" i="4"/>
  <c r="AQ24" i="4"/>
  <c r="E24" i="4"/>
  <c r="CJ23" i="4"/>
  <c r="AQ23" i="4"/>
  <c r="E23" i="4"/>
  <c r="CJ22" i="4"/>
  <c r="AQ22" i="4"/>
  <c r="E22" i="4"/>
  <c r="CJ21" i="4"/>
  <c r="AQ21" i="4"/>
  <c r="E21" i="4"/>
  <c r="CJ20" i="4"/>
  <c r="AQ20" i="4"/>
  <c r="E20" i="4"/>
  <c r="CJ19" i="4"/>
  <c r="AQ19" i="4"/>
  <c r="E19" i="4"/>
  <c r="CJ18" i="4"/>
  <c r="AQ18" i="4"/>
  <c r="E18" i="4"/>
  <c r="CJ17" i="4"/>
  <c r="AQ17" i="4"/>
  <c r="E17" i="4"/>
  <c r="CJ16" i="4"/>
  <c r="AQ16" i="4"/>
  <c r="E16" i="4"/>
  <c r="CJ15" i="4"/>
  <c r="AQ15" i="4"/>
  <c r="E15" i="4"/>
  <c r="CJ14" i="4"/>
  <c r="AQ14" i="4"/>
  <c r="E14" i="4"/>
  <c r="CJ13" i="4"/>
  <c r="AQ13" i="4"/>
  <c r="E13" i="4"/>
  <c r="CJ12" i="4"/>
  <c r="AQ12" i="4"/>
  <c r="E12" i="4"/>
  <c r="CJ11" i="4"/>
  <c r="AQ11" i="4"/>
  <c r="E11" i="4"/>
  <c r="CJ10" i="4"/>
  <c r="AQ10" i="4"/>
  <c r="E10" i="4"/>
  <c r="CJ9" i="4"/>
  <c r="AQ9" i="4"/>
  <c r="E9" i="4"/>
  <c r="CJ8" i="4"/>
  <c r="AQ8" i="4"/>
  <c r="E8" i="4"/>
  <c r="CJ7" i="4"/>
  <c r="AQ7" i="4"/>
  <c r="E7" i="4"/>
  <c r="CJ6" i="4"/>
  <c r="AQ6" i="4"/>
  <c r="E6" i="4"/>
  <c r="CJ5" i="4"/>
  <c r="AQ5" i="4"/>
  <c r="E5" i="4"/>
  <c r="CJ4" i="4"/>
  <c r="AQ4" i="4"/>
  <c r="E4" i="4"/>
  <c r="CJ3" i="4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194" i="1"/>
  <c r="CH195" i="1"/>
  <c r="CH196" i="1"/>
  <c r="CH197" i="1"/>
  <c r="CH198" i="1"/>
  <c r="CH199" i="1"/>
  <c r="CH200" i="1"/>
  <c r="CH201" i="1"/>
  <c r="CH202" i="1"/>
  <c r="CH203" i="1"/>
  <c r="CH204" i="1"/>
  <c r="CH205" i="1"/>
  <c r="CH206" i="1"/>
  <c r="CH207" i="1"/>
  <c r="CH208" i="1"/>
  <c r="CH209" i="1"/>
  <c r="CH210" i="1"/>
  <c r="CH211" i="1"/>
  <c r="CH212" i="1"/>
  <c r="CH213" i="1"/>
  <c r="CH214" i="1"/>
  <c r="CH215" i="1"/>
  <c r="CH216" i="1"/>
  <c r="CH217" i="1"/>
  <c r="CH218" i="1"/>
  <c r="CH219" i="1"/>
  <c r="CH220" i="1"/>
  <c r="CH221" i="1"/>
  <c r="CH222" i="1"/>
  <c r="CH223" i="1"/>
  <c r="CH224" i="1"/>
  <c r="CH225" i="1"/>
  <c r="CH226" i="1"/>
  <c r="CH227" i="1"/>
  <c r="CH228" i="1"/>
  <c r="CH229" i="1"/>
  <c r="CH230" i="1"/>
  <c r="CH231" i="1"/>
  <c r="CH232" i="1"/>
  <c r="CH233" i="1"/>
  <c r="CH234" i="1"/>
  <c r="CH235" i="1"/>
  <c r="CH236" i="1"/>
  <c r="CH237" i="1"/>
  <c r="CH238" i="1"/>
  <c r="CH239" i="1"/>
  <c r="CH240" i="1"/>
  <c r="CH241" i="1"/>
  <c r="CH242" i="1"/>
  <c r="CH243" i="1"/>
  <c r="CH244" i="1"/>
  <c r="CH245" i="1"/>
  <c r="CH246" i="1"/>
  <c r="CH247" i="1"/>
  <c r="CH248" i="1"/>
  <c r="CH249" i="1"/>
  <c r="CH250" i="1"/>
  <c r="CH251" i="1"/>
  <c r="CH252" i="1"/>
  <c r="CH253" i="1"/>
  <c r="CH254" i="1"/>
  <c r="CH255" i="1"/>
  <c r="CH256" i="1"/>
  <c r="CH257" i="1"/>
  <c r="CH258" i="1"/>
  <c r="CH259" i="1"/>
  <c r="CH260" i="1"/>
  <c r="CH261" i="1"/>
  <c r="CH262" i="1"/>
  <c r="CH263" i="1"/>
  <c r="CH264" i="1"/>
  <c r="CH265" i="1"/>
  <c r="CH266" i="1"/>
  <c r="CH267" i="1"/>
  <c r="CH268" i="1"/>
  <c r="CH269" i="1"/>
  <c r="CH270" i="1"/>
  <c r="CH271" i="1"/>
  <c r="CH272" i="1"/>
  <c r="CH273" i="1"/>
  <c r="CH274" i="1"/>
  <c r="CH275" i="1"/>
  <c r="CH276" i="1"/>
  <c r="CH277" i="1"/>
  <c r="CH278" i="1"/>
  <c r="CH279" i="1"/>
  <c r="CH280" i="1"/>
  <c r="CH281" i="1"/>
  <c r="CH282" i="1"/>
  <c r="CH283" i="1"/>
  <c r="CH284" i="1"/>
  <c r="CH285" i="1"/>
  <c r="CH286" i="1"/>
  <c r="CH287" i="1"/>
  <c r="CH288" i="1"/>
  <c r="CH289" i="1"/>
  <c r="CH290" i="1"/>
  <c r="CH291" i="1"/>
  <c r="CH292" i="1"/>
  <c r="CH293" i="1"/>
  <c r="CH294" i="1"/>
  <c r="CH295" i="1"/>
  <c r="CH296" i="1"/>
  <c r="CH297" i="1"/>
  <c r="CH298" i="1"/>
  <c r="CH299" i="1"/>
  <c r="CH300" i="1"/>
  <c r="CH301" i="1"/>
  <c r="CH302" i="1"/>
  <c r="CH303" i="1"/>
  <c r="CH304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H5" i="1"/>
  <c r="CG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176" i="1"/>
  <c r="CJ177" i="1"/>
  <c r="CJ178" i="1"/>
  <c r="CJ179" i="1"/>
  <c r="CJ180" i="1"/>
  <c r="CJ181" i="1"/>
  <c r="CJ182" i="1"/>
  <c r="CJ183" i="1"/>
  <c r="CJ184" i="1"/>
  <c r="CJ185" i="1"/>
  <c r="CJ186" i="1"/>
  <c r="CJ187" i="1"/>
  <c r="CJ188" i="1"/>
  <c r="CJ189" i="1"/>
  <c r="CJ190" i="1"/>
  <c r="CJ191" i="1"/>
  <c r="CJ192" i="1"/>
  <c r="CJ193" i="1"/>
  <c r="CJ194" i="1"/>
  <c r="CJ195" i="1"/>
  <c r="CJ196" i="1"/>
  <c r="CJ197" i="1"/>
  <c r="CJ198" i="1"/>
  <c r="CJ199" i="1"/>
  <c r="CJ200" i="1"/>
  <c r="CJ201" i="1"/>
  <c r="CJ202" i="1"/>
  <c r="CJ203" i="1"/>
  <c r="CJ204" i="1"/>
  <c r="CJ205" i="1"/>
  <c r="CJ206" i="1"/>
  <c r="CJ207" i="1"/>
  <c r="CJ208" i="1"/>
  <c r="CJ209" i="1"/>
  <c r="CJ210" i="1"/>
  <c r="CJ211" i="1"/>
  <c r="CJ212" i="1"/>
  <c r="CJ213" i="1"/>
  <c r="CJ214" i="1"/>
  <c r="CJ215" i="1"/>
  <c r="CJ216" i="1"/>
  <c r="CJ217" i="1"/>
  <c r="CJ218" i="1"/>
  <c r="CJ219" i="1"/>
  <c r="CJ220" i="1"/>
  <c r="CJ221" i="1"/>
  <c r="CJ222" i="1"/>
  <c r="CJ223" i="1"/>
  <c r="CJ224" i="1"/>
  <c r="CJ225" i="1"/>
  <c r="CJ226" i="1"/>
  <c r="CJ227" i="1"/>
  <c r="CJ228" i="1"/>
  <c r="CJ229" i="1"/>
  <c r="CJ230" i="1"/>
  <c r="CJ231" i="1"/>
  <c r="CJ232" i="1"/>
  <c r="CJ233" i="1"/>
  <c r="CJ234" i="1"/>
  <c r="CJ235" i="1"/>
  <c r="CJ236" i="1"/>
  <c r="CJ237" i="1"/>
  <c r="CJ238" i="1"/>
  <c r="CJ239" i="1"/>
  <c r="CJ240" i="1"/>
  <c r="CJ241" i="1"/>
  <c r="CJ242" i="1"/>
  <c r="CJ243" i="1"/>
  <c r="CJ244" i="1"/>
  <c r="CJ245" i="1"/>
  <c r="CJ246" i="1"/>
  <c r="CJ247" i="1"/>
  <c r="CJ248" i="1"/>
  <c r="CJ249" i="1"/>
  <c r="CJ250" i="1"/>
  <c r="CJ251" i="1"/>
  <c r="CJ252" i="1"/>
  <c r="CJ253" i="1"/>
  <c r="CJ254" i="1"/>
  <c r="CJ255" i="1"/>
  <c r="CJ256" i="1"/>
  <c r="CJ257" i="1"/>
  <c r="CJ258" i="1"/>
  <c r="CJ259" i="1"/>
  <c r="CJ260" i="1"/>
  <c r="CJ261" i="1"/>
  <c r="CJ262" i="1"/>
  <c r="CJ263" i="1"/>
  <c r="CJ264" i="1"/>
  <c r="CJ265" i="1"/>
  <c r="CJ266" i="1"/>
  <c r="CJ267" i="1"/>
  <c r="CJ268" i="1"/>
  <c r="CJ269" i="1"/>
  <c r="CJ270" i="1"/>
  <c r="CJ271" i="1"/>
  <c r="CJ272" i="1"/>
  <c r="CJ273" i="1"/>
  <c r="CJ274" i="1"/>
  <c r="CJ275" i="1"/>
  <c r="CJ276" i="1"/>
  <c r="CJ277" i="1"/>
  <c r="CJ278" i="1"/>
  <c r="CJ279" i="1"/>
  <c r="CJ280" i="1"/>
  <c r="CJ281" i="1"/>
  <c r="CJ282" i="1"/>
  <c r="CJ283" i="1"/>
  <c r="CJ284" i="1"/>
  <c r="CJ285" i="1"/>
  <c r="CJ286" i="1"/>
  <c r="CJ287" i="1"/>
  <c r="CJ288" i="1"/>
  <c r="CJ289" i="1"/>
  <c r="CJ290" i="1"/>
  <c r="CJ291" i="1"/>
  <c r="CJ292" i="1"/>
  <c r="CJ293" i="1"/>
  <c r="CJ294" i="1"/>
  <c r="CJ295" i="1"/>
  <c r="CJ296" i="1"/>
  <c r="CJ297" i="1"/>
  <c r="CJ298" i="1"/>
  <c r="CJ299" i="1"/>
  <c r="CJ300" i="1"/>
  <c r="CJ301" i="1"/>
  <c r="CJ302" i="1"/>
  <c r="CJ303" i="1"/>
  <c r="CJ304" i="1"/>
  <c r="CJ5" i="1"/>
  <c r="AS305" i="1"/>
  <c r="AQ305" i="1"/>
  <c r="AS304" i="1"/>
  <c r="AQ304" i="1"/>
  <c r="AS303" i="1"/>
  <c r="AQ303" i="1"/>
  <c r="AS302" i="1"/>
  <c r="AQ302" i="1"/>
  <c r="AS301" i="1"/>
  <c r="AQ301" i="1"/>
  <c r="AS300" i="1"/>
  <c r="AQ300" i="1"/>
  <c r="AS299" i="1"/>
  <c r="AQ299" i="1"/>
  <c r="AS298" i="1"/>
  <c r="AQ298" i="1"/>
  <c r="AS297" i="1"/>
  <c r="AQ297" i="1"/>
  <c r="AS296" i="1"/>
  <c r="AQ296" i="1"/>
  <c r="AS295" i="1"/>
  <c r="AQ295" i="1"/>
  <c r="AS294" i="1"/>
  <c r="AQ294" i="1"/>
  <c r="AS293" i="1"/>
  <c r="AQ293" i="1"/>
  <c r="AS292" i="1"/>
  <c r="AQ292" i="1"/>
  <c r="AS291" i="1"/>
  <c r="AQ291" i="1"/>
  <c r="AS290" i="1"/>
  <c r="AQ290" i="1"/>
  <c r="AS289" i="1"/>
  <c r="AQ289" i="1"/>
  <c r="AS288" i="1"/>
  <c r="AQ288" i="1"/>
  <c r="AS287" i="1"/>
  <c r="AQ287" i="1"/>
  <c r="AS286" i="1"/>
  <c r="AQ286" i="1"/>
  <c r="AS285" i="1"/>
  <c r="AQ285" i="1"/>
  <c r="AS284" i="1"/>
  <c r="AQ284" i="1"/>
  <c r="AS283" i="1"/>
  <c r="AQ283" i="1"/>
  <c r="AS282" i="1"/>
  <c r="AQ282" i="1"/>
  <c r="AS281" i="1"/>
  <c r="AQ281" i="1"/>
  <c r="AS280" i="1"/>
  <c r="AQ280" i="1"/>
  <c r="AS279" i="1"/>
  <c r="AQ279" i="1"/>
  <c r="AS278" i="1"/>
  <c r="AQ278" i="1"/>
  <c r="AS277" i="1"/>
  <c r="AQ277" i="1"/>
  <c r="AS276" i="1"/>
  <c r="AQ276" i="1"/>
  <c r="AS275" i="1"/>
  <c r="AQ275" i="1"/>
  <c r="AS274" i="1"/>
  <c r="AQ274" i="1"/>
  <c r="AS273" i="1"/>
  <c r="AQ273" i="1"/>
  <c r="AS272" i="1"/>
  <c r="AQ272" i="1"/>
  <c r="AS271" i="1"/>
  <c r="AQ271" i="1"/>
  <c r="AS270" i="1"/>
  <c r="AQ270" i="1"/>
  <c r="AS269" i="1"/>
  <c r="AQ269" i="1"/>
  <c r="AS268" i="1"/>
  <c r="AQ268" i="1"/>
  <c r="AS267" i="1"/>
  <c r="AQ267" i="1"/>
  <c r="AS266" i="1"/>
  <c r="AQ266" i="1"/>
  <c r="AS265" i="1"/>
  <c r="AQ265" i="1"/>
  <c r="AS264" i="1"/>
  <c r="AQ264" i="1"/>
  <c r="AS263" i="1"/>
  <c r="AQ263" i="1"/>
  <c r="AS262" i="1"/>
  <c r="AQ262" i="1"/>
  <c r="AS261" i="1"/>
  <c r="AQ261" i="1"/>
  <c r="AS260" i="1"/>
  <c r="AQ260" i="1"/>
  <c r="AS259" i="1"/>
  <c r="AQ259" i="1"/>
  <c r="AS258" i="1"/>
  <c r="AQ258" i="1"/>
  <c r="AS257" i="1"/>
  <c r="AQ257" i="1"/>
  <c r="AS256" i="1"/>
  <c r="AQ256" i="1"/>
  <c r="AS255" i="1"/>
  <c r="AQ255" i="1"/>
  <c r="AS254" i="1"/>
  <c r="AQ254" i="1"/>
  <c r="AS253" i="1"/>
  <c r="AQ253" i="1"/>
  <c r="AS252" i="1"/>
  <c r="AQ252" i="1"/>
  <c r="AS251" i="1"/>
  <c r="AQ251" i="1"/>
  <c r="AS250" i="1"/>
  <c r="AQ250" i="1"/>
  <c r="AS249" i="1"/>
  <c r="AQ249" i="1"/>
  <c r="AS248" i="1"/>
  <c r="AQ248" i="1"/>
  <c r="AS247" i="1"/>
  <c r="AQ247" i="1"/>
  <c r="AS246" i="1"/>
  <c r="AQ246" i="1"/>
  <c r="AS245" i="1"/>
  <c r="AQ245" i="1"/>
  <c r="AS244" i="1"/>
  <c r="AQ244" i="1"/>
  <c r="AS243" i="1"/>
  <c r="AQ243" i="1"/>
  <c r="AS242" i="1"/>
  <c r="AQ242" i="1"/>
  <c r="AS241" i="1"/>
  <c r="AQ241" i="1"/>
  <c r="AS240" i="1"/>
  <c r="AQ240" i="1"/>
  <c r="AS239" i="1"/>
  <c r="AQ239" i="1"/>
  <c r="AS238" i="1"/>
  <c r="AQ238" i="1"/>
  <c r="AS237" i="1"/>
  <c r="AQ237" i="1"/>
  <c r="AS236" i="1"/>
  <c r="AQ236" i="1"/>
  <c r="AS235" i="1"/>
  <c r="AQ235" i="1"/>
  <c r="AS234" i="1"/>
  <c r="AQ234" i="1"/>
  <c r="AS233" i="1"/>
  <c r="AQ233" i="1"/>
  <c r="AS232" i="1"/>
  <c r="AQ232" i="1"/>
  <c r="AS231" i="1"/>
  <c r="AQ231" i="1"/>
  <c r="AS230" i="1"/>
  <c r="AQ230" i="1"/>
  <c r="AS229" i="1"/>
  <c r="AQ229" i="1"/>
  <c r="AS228" i="1"/>
  <c r="AQ228" i="1"/>
  <c r="AS227" i="1"/>
  <c r="AQ227" i="1"/>
  <c r="AS226" i="1"/>
  <c r="AQ226" i="1"/>
  <c r="AS225" i="1"/>
  <c r="AQ225" i="1"/>
  <c r="AS224" i="1"/>
  <c r="AQ224" i="1"/>
  <c r="AS223" i="1"/>
  <c r="AQ223" i="1"/>
  <c r="AS222" i="1"/>
  <c r="AQ222" i="1"/>
  <c r="AS221" i="1"/>
  <c r="AQ221" i="1"/>
  <c r="AS220" i="1"/>
  <c r="AQ220" i="1"/>
  <c r="AS219" i="1"/>
  <c r="AQ219" i="1"/>
  <c r="AS218" i="1"/>
  <c r="AQ218" i="1"/>
  <c r="AS217" i="1"/>
  <c r="AQ217" i="1"/>
  <c r="AS216" i="1"/>
  <c r="AQ216" i="1"/>
  <c r="AS215" i="1"/>
  <c r="AQ215" i="1"/>
  <c r="AS214" i="1"/>
  <c r="AQ214" i="1"/>
  <c r="AS213" i="1"/>
  <c r="AQ213" i="1"/>
  <c r="AS212" i="1"/>
  <c r="AQ212" i="1"/>
  <c r="AS211" i="1"/>
  <c r="AQ211" i="1"/>
  <c r="AS210" i="1"/>
  <c r="AQ210" i="1"/>
  <c r="AS209" i="1"/>
  <c r="AQ209" i="1"/>
  <c r="AS208" i="1"/>
  <c r="AQ208" i="1"/>
  <c r="AS207" i="1"/>
  <c r="AQ207" i="1"/>
  <c r="AS206" i="1"/>
  <c r="AQ206" i="1"/>
  <c r="AS205" i="1"/>
  <c r="AQ205" i="1"/>
  <c r="AS204" i="1"/>
  <c r="AQ204" i="1"/>
  <c r="AS203" i="1"/>
  <c r="AQ203" i="1"/>
  <c r="AS202" i="1"/>
  <c r="AQ202" i="1"/>
  <c r="AS201" i="1"/>
  <c r="AQ201" i="1"/>
  <c r="AS200" i="1"/>
  <c r="AQ200" i="1"/>
  <c r="AS199" i="1"/>
  <c r="AQ199" i="1"/>
  <c r="AS198" i="1"/>
  <c r="AQ198" i="1"/>
  <c r="AS197" i="1"/>
  <c r="AQ197" i="1"/>
  <c r="AS196" i="1"/>
  <c r="AQ196" i="1"/>
  <c r="AS195" i="1"/>
  <c r="AQ195" i="1"/>
  <c r="AS194" i="1"/>
  <c r="AQ194" i="1"/>
  <c r="AS193" i="1"/>
  <c r="AQ193" i="1"/>
  <c r="AS192" i="1"/>
  <c r="AQ192" i="1"/>
  <c r="AS191" i="1"/>
  <c r="AQ191" i="1"/>
  <c r="AS190" i="1"/>
  <c r="AQ190" i="1"/>
  <c r="AS189" i="1"/>
  <c r="AQ189" i="1"/>
  <c r="AS188" i="1"/>
  <c r="AQ188" i="1"/>
  <c r="AS187" i="1"/>
  <c r="AQ187" i="1"/>
  <c r="AS186" i="1"/>
  <c r="AQ186" i="1"/>
  <c r="AS185" i="1"/>
  <c r="AQ185" i="1"/>
  <c r="AS184" i="1"/>
  <c r="AQ184" i="1"/>
  <c r="AS183" i="1"/>
  <c r="AQ183" i="1"/>
  <c r="AS182" i="1"/>
  <c r="AQ182" i="1"/>
  <c r="AS181" i="1"/>
  <c r="AQ181" i="1"/>
  <c r="AS180" i="1"/>
  <c r="AQ180" i="1"/>
  <c r="AS179" i="1"/>
  <c r="AQ179" i="1"/>
  <c r="AS178" i="1"/>
  <c r="AQ178" i="1"/>
  <c r="AS177" i="1"/>
  <c r="AQ177" i="1"/>
  <c r="AS176" i="1"/>
  <c r="AQ176" i="1"/>
  <c r="AS175" i="1"/>
  <c r="AQ175" i="1"/>
  <c r="AS174" i="1"/>
  <c r="AQ174" i="1"/>
  <c r="AS173" i="1"/>
  <c r="AQ173" i="1"/>
  <c r="AS172" i="1"/>
  <c r="AQ172" i="1"/>
  <c r="AS171" i="1"/>
  <c r="AQ171" i="1"/>
  <c r="AS170" i="1"/>
  <c r="AQ170" i="1"/>
  <c r="AS169" i="1"/>
  <c r="AQ169" i="1"/>
  <c r="AS168" i="1"/>
  <c r="AQ168" i="1"/>
  <c r="AS167" i="1"/>
  <c r="AQ167" i="1"/>
  <c r="AS166" i="1"/>
  <c r="AQ166" i="1"/>
  <c r="AS165" i="1"/>
  <c r="AQ165" i="1"/>
  <c r="AS164" i="1"/>
  <c r="AQ164" i="1"/>
  <c r="AS163" i="1"/>
  <c r="AQ163" i="1"/>
  <c r="AS162" i="1"/>
  <c r="AQ162" i="1"/>
  <c r="AS161" i="1"/>
  <c r="AQ161" i="1"/>
  <c r="AS160" i="1"/>
  <c r="AQ160" i="1"/>
  <c r="AS159" i="1"/>
  <c r="AQ159" i="1"/>
  <c r="AS158" i="1"/>
  <c r="AQ158" i="1"/>
  <c r="AS157" i="1"/>
  <c r="AQ157" i="1"/>
  <c r="AS156" i="1"/>
  <c r="AQ156" i="1"/>
  <c r="AS155" i="1"/>
  <c r="AQ155" i="1"/>
  <c r="AS154" i="1"/>
  <c r="AQ154" i="1"/>
  <c r="AS153" i="1"/>
  <c r="AQ153" i="1"/>
  <c r="AS152" i="1"/>
  <c r="AQ152" i="1"/>
  <c r="AS151" i="1"/>
  <c r="AQ151" i="1"/>
  <c r="AS150" i="1"/>
  <c r="AQ150" i="1"/>
  <c r="AS149" i="1"/>
  <c r="AQ149" i="1"/>
  <c r="AS148" i="1"/>
  <c r="AQ148" i="1"/>
  <c r="AS147" i="1"/>
  <c r="AQ147" i="1"/>
  <c r="AS146" i="1"/>
  <c r="AQ146" i="1"/>
  <c r="AS145" i="1"/>
  <c r="AQ145" i="1"/>
  <c r="AS144" i="1"/>
  <c r="AQ144" i="1"/>
  <c r="AS143" i="1"/>
  <c r="AQ143" i="1"/>
  <c r="AS142" i="1"/>
  <c r="AQ142" i="1"/>
  <c r="AS141" i="1"/>
  <c r="AQ141" i="1"/>
  <c r="AS140" i="1"/>
  <c r="AQ140" i="1"/>
  <c r="AS139" i="1"/>
  <c r="AQ139" i="1"/>
  <c r="AS138" i="1"/>
  <c r="AQ138" i="1"/>
  <c r="AS137" i="1"/>
  <c r="AQ137" i="1"/>
  <c r="AS136" i="1"/>
  <c r="AQ136" i="1"/>
  <c r="AS135" i="1"/>
  <c r="AQ135" i="1"/>
  <c r="AS134" i="1"/>
  <c r="AQ134" i="1"/>
  <c r="AS133" i="1"/>
  <c r="AQ133" i="1"/>
  <c r="AS132" i="1"/>
  <c r="AQ132" i="1"/>
  <c r="AS131" i="1"/>
  <c r="AQ131" i="1"/>
  <c r="AS130" i="1"/>
  <c r="AQ130" i="1"/>
  <c r="AS129" i="1"/>
  <c r="AQ129" i="1"/>
  <c r="AS128" i="1"/>
  <c r="AQ128" i="1"/>
  <c r="AS127" i="1"/>
  <c r="AQ127" i="1"/>
  <c r="AS126" i="1"/>
  <c r="AQ126" i="1"/>
  <c r="AS125" i="1"/>
  <c r="AQ125" i="1"/>
  <c r="AS124" i="1"/>
  <c r="AQ124" i="1"/>
  <c r="AS123" i="1"/>
  <c r="AQ123" i="1"/>
  <c r="AS122" i="1"/>
  <c r="AQ122" i="1"/>
  <c r="AS121" i="1"/>
  <c r="AQ121" i="1"/>
  <c r="AS120" i="1"/>
  <c r="AQ120" i="1"/>
  <c r="AS119" i="1"/>
  <c r="AQ119" i="1"/>
  <c r="AS118" i="1"/>
  <c r="AQ118" i="1"/>
  <c r="AS117" i="1"/>
  <c r="AQ117" i="1"/>
  <c r="AS116" i="1"/>
  <c r="AQ116" i="1"/>
  <c r="AS115" i="1"/>
  <c r="AQ115" i="1"/>
  <c r="AS114" i="1"/>
  <c r="AQ114" i="1"/>
  <c r="AS113" i="1"/>
  <c r="AQ113" i="1"/>
  <c r="AS112" i="1"/>
  <c r="AQ112" i="1"/>
  <c r="AS111" i="1"/>
  <c r="AQ111" i="1"/>
  <c r="AS110" i="1"/>
  <c r="AQ110" i="1"/>
  <c r="AS109" i="1"/>
  <c r="AQ109" i="1"/>
  <c r="AS108" i="1"/>
  <c r="AQ108" i="1"/>
  <c r="AS107" i="1"/>
  <c r="AQ107" i="1"/>
  <c r="AS106" i="1"/>
  <c r="AQ106" i="1"/>
  <c r="AS105" i="1"/>
  <c r="AQ105" i="1"/>
  <c r="AS104" i="1"/>
  <c r="AQ104" i="1"/>
  <c r="AS103" i="1"/>
  <c r="AQ103" i="1"/>
  <c r="AS102" i="1"/>
  <c r="AQ102" i="1"/>
  <c r="AS101" i="1"/>
  <c r="AQ101" i="1"/>
  <c r="AS100" i="1"/>
  <c r="AQ100" i="1"/>
  <c r="AS99" i="1"/>
  <c r="AQ99" i="1"/>
  <c r="AS98" i="1"/>
  <c r="AQ98" i="1"/>
  <c r="AS97" i="1"/>
  <c r="AQ97" i="1"/>
  <c r="AS96" i="1"/>
  <c r="AQ96" i="1"/>
  <c r="AS95" i="1"/>
  <c r="AQ95" i="1"/>
  <c r="AS94" i="1"/>
  <c r="AQ94" i="1"/>
  <c r="AS93" i="1"/>
  <c r="AQ93" i="1"/>
  <c r="AS92" i="1"/>
  <c r="AQ92" i="1"/>
  <c r="AS91" i="1"/>
  <c r="AQ91" i="1"/>
  <c r="AS90" i="1"/>
  <c r="AQ90" i="1"/>
  <c r="AS89" i="1"/>
  <c r="AQ89" i="1"/>
  <c r="AS88" i="1"/>
  <c r="AQ88" i="1"/>
  <c r="AS87" i="1"/>
  <c r="AQ87" i="1"/>
  <c r="AS86" i="1"/>
  <c r="AQ86" i="1"/>
  <c r="AS85" i="1"/>
  <c r="AQ85" i="1"/>
  <c r="AS84" i="1"/>
  <c r="AQ84" i="1"/>
  <c r="AS83" i="1"/>
  <c r="AQ83" i="1"/>
  <c r="AS82" i="1"/>
  <c r="AQ82" i="1"/>
  <c r="AS81" i="1"/>
  <c r="AQ81" i="1"/>
  <c r="AS80" i="1"/>
  <c r="AQ80" i="1"/>
  <c r="AS79" i="1"/>
  <c r="AQ79" i="1"/>
  <c r="AS78" i="1"/>
  <c r="AQ78" i="1"/>
  <c r="AS77" i="1"/>
  <c r="AQ77" i="1"/>
  <c r="AS76" i="1"/>
  <c r="AQ76" i="1"/>
  <c r="AS75" i="1"/>
  <c r="AQ75" i="1"/>
  <c r="AS74" i="1"/>
  <c r="AQ74" i="1"/>
  <c r="AS73" i="1"/>
  <c r="AQ73" i="1"/>
  <c r="AS72" i="1"/>
  <c r="AQ72" i="1"/>
  <c r="AS71" i="1"/>
  <c r="AQ71" i="1"/>
  <c r="AS70" i="1"/>
  <c r="AQ70" i="1"/>
  <c r="AS69" i="1"/>
  <c r="AQ69" i="1"/>
  <c r="AS68" i="1"/>
  <c r="AQ68" i="1"/>
  <c r="AS67" i="1"/>
  <c r="AQ67" i="1"/>
  <c r="AS66" i="1"/>
  <c r="AQ66" i="1"/>
  <c r="AS65" i="1"/>
  <c r="AQ65" i="1"/>
  <c r="AS64" i="1"/>
  <c r="AQ64" i="1"/>
  <c r="AS63" i="1"/>
  <c r="AQ63" i="1"/>
  <c r="AS62" i="1"/>
  <c r="AQ62" i="1"/>
  <c r="AS61" i="1"/>
  <c r="AQ61" i="1"/>
  <c r="AS60" i="1"/>
  <c r="AQ60" i="1"/>
  <c r="AS59" i="1"/>
  <c r="AQ59" i="1"/>
  <c r="AS58" i="1"/>
  <c r="AQ58" i="1"/>
  <c r="AS57" i="1"/>
  <c r="AQ57" i="1"/>
  <c r="AS56" i="1"/>
  <c r="AQ56" i="1"/>
  <c r="AS55" i="1"/>
  <c r="AQ55" i="1"/>
  <c r="AS54" i="1"/>
  <c r="AQ54" i="1"/>
  <c r="AS53" i="1"/>
  <c r="AQ53" i="1"/>
  <c r="AS52" i="1"/>
  <c r="AQ52" i="1"/>
  <c r="AS51" i="1"/>
  <c r="AQ51" i="1"/>
  <c r="AS50" i="1"/>
  <c r="AQ50" i="1"/>
  <c r="AS49" i="1"/>
  <c r="AQ49" i="1"/>
  <c r="AS48" i="1"/>
  <c r="AQ48" i="1"/>
  <c r="AS47" i="1"/>
  <c r="AQ47" i="1"/>
  <c r="AS46" i="1"/>
  <c r="AQ46" i="1"/>
  <c r="AS45" i="1"/>
  <c r="AQ45" i="1"/>
  <c r="AS44" i="1"/>
  <c r="AQ44" i="1"/>
  <c r="AS43" i="1"/>
  <c r="AQ43" i="1"/>
  <c r="AS42" i="1"/>
  <c r="AQ42" i="1"/>
  <c r="AS41" i="1"/>
  <c r="AQ41" i="1"/>
  <c r="AS40" i="1"/>
  <c r="AQ40" i="1"/>
  <c r="AS39" i="1"/>
  <c r="AQ39" i="1"/>
  <c r="AS38" i="1"/>
  <c r="AQ38" i="1"/>
  <c r="AS37" i="1"/>
  <c r="AQ37" i="1"/>
  <c r="AS36" i="1"/>
  <c r="AQ36" i="1"/>
  <c r="AS35" i="1"/>
  <c r="AQ35" i="1"/>
  <c r="AS34" i="1"/>
  <c r="AQ34" i="1"/>
  <c r="AS33" i="1"/>
  <c r="AQ33" i="1"/>
  <c r="AS32" i="1"/>
  <c r="AQ32" i="1"/>
  <c r="AS31" i="1"/>
  <c r="AQ31" i="1"/>
  <c r="AS30" i="1"/>
  <c r="AQ30" i="1"/>
  <c r="AS29" i="1"/>
  <c r="AQ29" i="1"/>
  <c r="AS28" i="1"/>
  <c r="AQ28" i="1"/>
  <c r="AS27" i="1"/>
  <c r="AQ27" i="1"/>
  <c r="AS26" i="1"/>
  <c r="AQ26" i="1"/>
  <c r="AS25" i="1"/>
  <c r="AQ25" i="1"/>
  <c r="AS24" i="1"/>
  <c r="AQ24" i="1"/>
  <c r="AS23" i="1"/>
  <c r="AQ23" i="1"/>
  <c r="AS22" i="1"/>
  <c r="AQ22" i="1"/>
  <c r="AS21" i="1"/>
  <c r="AQ21" i="1"/>
  <c r="AS20" i="1"/>
  <c r="AQ20" i="1"/>
  <c r="AS19" i="1"/>
  <c r="AQ19" i="1"/>
  <c r="AS18" i="1"/>
  <c r="AQ18" i="1"/>
  <c r="AS17" i="1"/>
  <c r="AQ17" i="1"/>
  <c r="AS16" i="1"/>
  <c r="AQ16" i="1"/>
  <c r="AS15" i="1"/>
  <c r="AQ15" i="1"/>
  <c r="AS14" i="1"/>
  <c r="AQ14" i="1"/>
  <c r="AS13" i="1"/>
  <c r="AQ13" i="1"/>
  <c r="AS12" i="1"/>
  <c r="AQ12" i="1"/>
  <c r="AS11" i="1"/>
  <c r="AQ11" i="1"/>
  <c r="AS10" i="1"/>
  <c r="AQ10" i="1"/>
  <c r="AS9" i="1"/>
  <c r="AQ9" i="1"/>
  <c r="AS8" i="1"/>
  <c r="AQ8" i="1"/>
  <c r="AS7" i="1"/>
  <c r="AQ7" i="1"/>
  <c r="AS6" i="1"/>
  <c r="AQ6" i="1"/>
  <c r="E6" i="1"/>
  <c r="G6" i="1"/>
  <c r="E7" i="1"/>
  <c r="G7" i="1"/>
  <c r="E8" i="1"/>
  <c r="G8" i="1"/>
  <c r="E9" i="1"/>
  <c r="G9" i="1"/>
  <c r="E10" i="1"/>
  <c r="G10" i="1"/>
  <c r="E11" i="1"/>
  <c r="G11" i="1"/>
  <c r="E12" i="1"/>
  <c r="G12" i="1"/>
  <c r="E13" i="1"/>
  <c r="G13" i="1"/>
  <c r="E14" i="1"/>
  <c r="G14" i="1"/>
  <c r="E15" i="1"/>
  <c r="G15" i="1"/>
  <c r="E16" i="1"/>
  <c r="G16" i="1"/>
  <c r="E17" i="1"/>
  <c r="G17" i="1"/>
  <c r="E18" i="1"/>
  <c r="G18" i="1"/>
  <c r="E19" i="1"/>
  <c r="G19" i="1"/>
  <c r="E20" i="1"/>
  <c r="G20" i="1"/>
  <c r="E21" i="1"/>
  <c r="G21" i="1"/>
  <c r="E22" i="1"/>
  <c r="G22" i="1"/>
  <c r="E23" i="1"/>
  <c r="G23" i="1"/>
  <c r="E24" i="1"/>
  <c r="G24" i="1"/>
  <c r="E25" i="1"/>
  <c r="G25" i="1"/>
  <c r="E26" i="1"/>
  <c r="G26" i="1"/>
  <c r="E27" i="1"/>
  <c r="G27" i="1"/>
  <c r="E28" i="1"/>
  <c r="G28" i="1"/>
  <c r="E29" i="1"/>
  <c r="G29" i="1"/>
  <c r="E30" i="1"/>
  <c r="G30" i="1"/>
  <c r="E31" i="1"/>
  <c r="G31" i="1"/>
  <c r="E32" i="1"/>
  <c r="G32" i="1"/>
  <c r="E33" i="1"/>
  <c r="G33" i="1"/>
  <c r="E34" i="1"/>
  <c r="G34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E45" i="1"/>
  <c r="G45" i="1"/>
  <c r="E46" i="1"/>
  <c r="G46" i="1"/>
  <c r="E47" i="1"/>
  <c r="G47" i="1"/>
  <c r="E48" i="1"/>
  <c r="G48" i="1"/>
  <c r="E49" i="1"/>
  <c r="G49" i="1"/>
  <c r="E50" i="1"/>
  <c r="G50" i="1"/>
  <c r="E51" i="1"/>
  <c r="G51" i="1"/>
  <c r="E52" i="1"/>
  <c r="G52" i="1"/>
  <c r="E53" i="1"/>
  <c r="G53" i="1"/>
  <c r="E54" i="1"/>
  <c r="G54" i="1"/>
  <c r="E55" i="1"/>
  <c r="G55" i="1"/>
  <c r="E56" i="1"/>
  <c r="G56" i="1"/>
  <c r="E57" i="1"/>
  <c r="G57" i="1"/>
  <c r="E58" i="1"/>
  <c r="G58" i="1"/>
  <c r="E59" i="1"/>
  <c r="G59" i="1"/>
  <c r="E60" i="1"/>
  <c r="G60" i="1"/>
  <c r="E61" i="1"/>
  <c r="G61" i="1"/>
  <c r="E62" i="1"/>
  <c r="G62" i="1"/>
  <c r="E63" i="1"/>
  <c r="G63" i="1"/>
  <c r="E64" i="1"/>
  <c r="G64" i="1"/>
  <c r="E65" i="1"/>
  <c r="G65" i="1"/>
  <c r="E66" i="1"/>
  <c r="G66" i="1"/>
  <c r="E67" i="1"/>
  <c r="G67" i="1"/>
  <c r="E68" i="1"/>
  <c r="G68" i="1"/>
  <c r="E69" i="1"/>
  <c r="G69" i="1"/>
  <c r="E70" i="1"/>
  <c r="G70" i="1"/>
  <c r="E71" i="1"/>
  <c r="G71" i="1"/>
  <c r="E72" i="1"/>
  <c r="G72" i="1"/>
  <c r="E73" i="1"/>
  <c r="G73" i="1"/>
  <c r="E74" i="1"/>
  <c r="G74" i="1"/>
  <c r="E75" i="1"/>
  <c r="G75" i="1"/>
  <c r="E76" i="1"/>
  <c r="G76" i="1"/>
  <c r="E77" i="1"/>
  <c r="G77" i="1"/>
  <c r="E78" i="1"/>
  <c r="G78" i="1"/>
  <c r="E79" i="1"/>
  <c r="G79" i="1"/>
  <c r="E80" i="1"/>
  <c r="G80" i="1"/>
  <c r="E81" i="1"/>
  <c r="G81" i="1"/>
  <c r="E82" i="1"/>
  <c r="G82" i="1"/>
  <c r="E83" i="1"/>
  <c r="G83" i="1"/>
  <c r="E84" i="1"/>
  <c r="G84" i="1"/>
  <c r="E85" i="1"/>
  <c r="G85" i="1"/>
  <c r="E86" i="1"/>
  <c r="G86" i="1"/>
  <c r="E87" i="1"/>
  <c r="G87" i="1"/>
  <c r="E88" i="1"/>
  <c r="G88" i="1"/>
  <c r="E89" i="1"/>
  <c r="G89" i="1"/>
  <c r="E90" i="1"/>
  <c r="G90" i="1"/>
  <c r="E91" i="1"/>
  <c r="G91" i="1"/>
  <c r="E92" i="1"/>
  <c r="G92" i="1"/>
  <c r="E93" i="1"/>
  <c r="G93" i="1"/>
  <c r="E94" i="1"/>
  <c r="G94" i="1"/>
  <c r="E95" i="1"/>
  <c r="G95" i="1"/>
  <c r="E96" i="1"/>
  <c r="G96" i="1"/>
  <c r="E97" i="1"/>
  <c r="G97" i="1"/>
  <c r="E98" i="1"/>
  <c r="G98" i="1"/>
  <c r="E99" i="1"/>
  <c r="G99" i="1"/>
  <c r="E100" i="1"/>
  <c r="G100" i="1"/>
  <c r="E101" i="1"/>
  <c r="G101" i="1"/>
  <c r="E102" i="1"/>
  <c r="G102" i="1"/>
  <c r="E103" i="1"/>
  <c r="G103" i="1"/>
  <c r="E104" i="1"/>
  <c r="G104" i="1"/>
  <c r="E105" i="1"/>
  <c r="G105" i="1"/>
  <c r="E106" i="1"/>
  <c r="G106" i="1"/>
  <c r="E107" i="1"/>
  <c r="G107" i="1"/>
  <c r="E108" i="1"/>
  <c r="G108" i="1"/>
  <c r="E109" i="1"/>
  <c r="G109" i="1"/>
  <c r="E110" i="1"/>
  <c r="G110" i="1"/>
  <c r="E111" i="1"/>
  <c r="G111" i="1"/>
  <c r="E112" i="1"/>
  <c r="G112" i="1"/>
  <c r="E113" i="1"/>
  <c r="G113" i="1"/>
  <c r="E114" i="1"/>
  <c r="G114" i="1"/>
  <c r="E115" i="1"/>
  <c r="G115" i="1"/>
  <c r="E116" i="1"/>
  <c r="G116" i="1"/>
  <c r="E117" i="1"/>
  <c r="G117" i="1"/>
  <c r="E118" i="1"/>
  <c r="G118" i="1"/>
  <c r="E119" i="1"/>
  <c r="G119" i="1"/>
  <c r="E120" i="1"/>
  <c r="G120" i="1"/>
  <c r="E121" i="1"/>
  <c r="G121" i="1"/>
  <c r="E122" i="1"/>
  <c r="G122" i="1"/>
  <c r="E123" i="1"/>
  <c r="G123" i="1"/>
  <c r="E124" i="1"/>
  <c r="G124" i="1"/>
  <c r="E125" i="1"/>
  <c r="G125" i="1"/>
  <c r="E126" i="1"/>
  <c r="G126" i="1"/>
  <c r="E127" i="1"/>
  <c r="G127" i="1"/>
  <c r="E128" i="1"/>
  <c r="G128" i="1"/>
  <c r="E129" i="1"/>
  <c r="G129" i="1"/>
  <c r="E130" i="1"/>
  <c r="G130" i="1"/>
  <c r="E131" i="1"/>
  <c r="G131" i="1"/>
  <c r="E132" i="1"/>
  <c r="G132" i="1"/>
  <c r="E133" i="1"/>
  <c r="G133" i="1"/>
  <c r="E134" i="1"/>
  <c r="G134" i="1"/>
  <c r="E135" i="1"/>
  <c r="G135" i="1"/>
  <c r="E136" i="1"/>
  <c r="G136" i="1"/>
  <c r="E137" i="1"/>
  <c r="G137" i="1"/>
  <c r="E138" i="1"/>
  <c r="G138" i="1"/>
  <c r="E139" i="1"/>
  <c r="G139" i="1"/>
  <c r="E140" i="1"/>
  <c r="G140" i="1"/>
  <c r="E141" i="1"/>
  <c r="G141" i="1"/>
  <c r="E142" i="1"/>
  <c r="G142" i="1"/>
  <c r="E143" i="1"/>
  <c r="G143" i="1"/>
  <c r="E144" i="1"/>
  <c r="G144" i="1"/>
  <c r="E145" i="1"/>
  <c r="G145" i="1"/>
  <c r="E146" i="1"/>
  <c r="G146" i="1"/>
  <c r="E147" i="1"/>
  <c r="G147" i="1"/>
  <c r="E148" i="1"/>
  <c r="G148" i="1"/>
  <c r="E149" i="1"/>
  <c r="G149" i="1"/>
  <c r="E150" i="1"/>
  <c r="G150" i="1"/>
  <c r="E151" i="1"/>
  <c r="G151" i="1"/>
  <c r="E152" i="1"/>
  <c r="G152" i="1"/>
  <c r="E153" i="1"/>
  <c r="G153" i="1"/>
  <c r="E154" i="1"/>
  <c r="G154" i="1"/>
  <c r="E155" i="1"/>
  <c r="G155" i="1"/>
  <c r="E157" i="1"/>
  <c r="G157" i="1"/>
  <c r="E158" i="1"/>
  <c r="G158" i="1"/>
  <c r="E159" i="1"/>
  <c r="G159" i="1"/>
  <c r="E160" i="1"/>
  <c r="G160" i="1"/>
  <c r="E161" i="1"/>
  <c r="G161" i="1"/>
  <c r="E162" i="1"/>
  <c r="G162" i="1"/>
  <c r="E163" i="1"/>
  <c r="G163" i="1"/>
  <c r="E164" i="1"/>
  <c r="G164" i="1"/>
  <c r="E165" i="1"/>
  <c r="G165" i="1"/>
  <c r="E166" i="1"/>
  <c r="G166" i="1"/>
  <c r="E167" i="1"/>
  <c r="G167" i="1"/>
  <c r="E168" i="1"/>
  <c r="G168" i="1"/>
  <c r="E169" i="1"/>
  <c r="G169" i="1"/>
  <c r="E170" i="1"/>
  <c r="G170" i="1"/>
  <c r="E171" i="1"/>
  <c r="G171" i="1"/>
  <c r="E172" i="1"/>
  <c r="G172" i="1"/>
  <c r="E173" i="1"/>
  <c r="G173" i="1"/>
  <c r="E174" i="1"/>
  <c r="G174" i="1"/>
  <c r="E175" i="1"/>
  <c r="G175" i="1"/>
  <c r="E176" i="1"/>
  <c r="G176" i="1"/>
  <c r="E177" i="1"/>
  <c r="G177" i="1"/>
  <c r="E178" i="1"/>
  <c r="G178" i="1"/>
  <c r="E179" i="1"/>
  <c r="G179" i="1"/>
  <c r="E180" i="1"/>
  <c r="G180" i="1"/>
  <c r="E181" i="1"/>
  <c r="G181" i="1"/>
  <c r="E182" i="1"/>
  <c r="G182" i="1"/>
  <c r="E183" i="1"/>
  <c r="G183" i="1"/>
  <c r="E184" i="1"/>
  <c r="G184" i="1"/>
  <c r="E185" i="1"/>
  <c r="G185" i="1"/>
  <c r="E186" i="1"/>
  <c r="G186" i="1"/>
  <c r="E187" i="1"/>
  <c r="G187" i="1"/>
  <c r="E188" i="1"/>
  <c r="G188" i="1"/>
  <c r="E189" i="1"/>
  <c r="G189" i="1"/>
  <c r="E190" i="1"/>
  <c r="G190" i="1"/>
  <c r="E191" i="1"/>
  <c r="G191" i="1"/>
  <c r="E192" i="1"/>
  <c r="G192" i="1"/>
  <c r="E193" i="1"/>
  <c r="G193" i="1"/>
  <c r="E194" i="1"/>
  <c r="G194" i="1"/>
  <c r="E195" i="1"/>
  <c r="G195" i="1"/>
  <c r="E196" i="1"/>
  <c r="G196" i="1"/>
  <c r="E197" i="1"/>
  <c r="G197" i="1"/>
  <c r="E198" i="1"/>
  <c r="G198" i="1"/>
  <c r="E199" i="1"/>
  <c r="G199" i="1"/>
  <c r="E200" i="1"/>
  <c r="G200" i="1"/>
  <c r="E201" i="1"/>
  <c r="G201" i="1"/>
  <c r="E202" i="1"/>
  <c r="G202" i="1"/>
  <c r="E203" i="1"/>
  <c r="G203" i="1"/>
  <c r="E204" i="1"/>
  <c r="G204" i="1"/>
  <c r="E205" i="1"/>
  <c r="G205" i="1"/>
  <c r="E206" i="1"/>
  <c r="G206" i="1"/>
  <c r="E207" i="1"/>
  <c r="G207" i="1"/>
  <c r="E208" i="1"/>
  <c r="G208" i="1"/>
  <c r="E209" i="1"/>
  <c r="G209" i="1"/>
  <c r="E210" i="1"/>
  <c r="G210" i="1"/>
  <c r="E211" i="1"/>
  <c r="G211" i="1"/>
  <c r="E212" i="1"/>
  <c r="G212" i="1"/>
  <c r="E213" i="1"/>
  <c r="G213" i="1"/>
  <c r="E214" i="1"/>
  <c r="G214" i="1"/>
  <c r="E215" i="1"/>
  <c r="G215" i="1"/>
  <c r="E216" i="1"/>
  <c r="G216" i="1"/>
  <c r="E217" i="1"/>
  <c r="G217" i="1"/>
  <c r="E218" i="1"/>
  <c r="G218" i="1"/>
  <c r="E219" i="1"/>
  <c r="G219" i="1"/>
  <c r="E220" i="1"/>
  <c r="G220" i="1"/>
  <c r="E221" i="1"/>
  <c r="G221" i="1"/>
  <c r="E222" i="1"/>
  <c r="G222" i="1"/>
  <c r="E223" i="1"/>
  <c r="G223" i="1"/>
  <c r="E224" i="1"/>
  <c r="G224" i="1"/>
  <c r="E225" i="1"/>
  <c r="G225" i="1"/>
  <c r="E226" i="1"/>
  <c r="G226" i="1"/>
  <c r="E227" i="1"/>
  <c r="G227" i="1"/>
  <c r="E228" i="1"/>
  <c r="G228" i="1"/>
  <c r="E229" i="1"/>
  <c r="G229" i="1"/>
  <c r="E230" i="1"/>
  <c r="G230" i="1"/>
  <c r="E231" i="1"/>
  <c r="G231" i="1"/>
  <c r="E232" i="1"/>
  <c r="G232" i="1"/>
  <c r="E233" i="1"/>
  <c r="G233" i="1"/>
  <c r="E234" i="1"/>
  <c r="G234" i="1"/>
  <c r="E235" i="1"/>
  <c r="G235" i="1"/>
  <c r="E236" i="1"/>
  <c r="G236" i="1"/>
  <c r="E237" i="1"/>
  <c r="G237" i="1"/>
  <c r="E238" i="1"/>
  <c r="G238" i="1"/>
  <c r="E239" i="1"/>
  <c r="G239" i="1"/>
  <c r="E240" i="1"/>
  <c r="G240" i="1"/>
  <c r="E241" i="1"/>
  <c r="G241" i="1"/>
  <c r="E242" i="1"/>
  <c r="G242" i="1"/>
  <c r="E243" i="1"/>
  <c r="G243" i="1"/>
  <c r="E244" i="1"/>
  <c r="G244" i="1"/>
  <c r="E245" i="1"/>
  <c r="G245" i="1"/>
  <c r="E246" i="1"/>
  <c r="G246" i="1"/>
  <c r="E247" i="1"/>
  <c r="G247" i="1"/>
  <c r="E248" i="1"/>
  <c r="G248" i="1"/>
  <c r="E249" i="1"/>
  <c r="G249" i="1"/>
  <c r="E250" i="1"/>
  <c r="G250" i="1"/>
  <c r="E251" i="1"/>
  <c r="G251" i="1"/>
  <c r="E252" i="1"/>
  <c r="G252" i="1"/>
  <c r="E253" i="1"/>
  <c r="G253" i="1"/>
  <c r="E254" i="1"/>
  <c r="G254" i="1"/>
  <c r="E255" i="1"/>
  <c r="G255" i="1"/>
  <c r="E256" i="1"/>
  <c r="G256" i="1"/>
  <c r="E257" i="1"/>
  <c r="G257" i="1"/>
  <c r="E258" i="1"/>
  <c r="G258" i="1"/>
  <c r="E259" i="1"/>
  <c r="G259" i="1"/>
  <c r="E260" i="1"/>
  <c r="G260" i="1"/>
  <c r="E261" i="1"/>
  <c r="G261" i="1"/>
  <c r="E262" i="1"/>
  <c r="G262" i="1"/>
  <c r="E263" i="1"/>
  <c r="G263" i="1"/>
  <c r="E264" i="1"/>
  <c r="G264" i="1"/>
  <c r="E265" i="1"/>
  <c r="G265" i="1"/>
  <c r="E266" i="1"/>
  <c r="G266" i="1"/>
  <c r="E267" i="1"/>
  <c r="G267" i="1"/>
  <c r="E268" i="1"/>
  <c r="G268" i="1"/>
  <c r="E269" i="1"/>
  <c r="G269" i="1"/>
  <c r="E270" i="1"/>
  <c r="G270" i="1"/>
  <c r="E271" i="1"/>
  <c r="G271" i="1"/>
  <c r="E272" i="1"/>
  <c r="G272" i="1"/>
  <c r="E273" i="1"/>
  <c r="G273" i="1"/>
  <c r="E274" i="1"/>
  <c r="G274" i="1"/>
  <c r="E275" i="1"/>
  <c r="G275" i="1"/>
  <c r="E276" i="1"/>
  <c r="G276" i="1"/>
  <c r="E277" i="1"/>
  <c r="G277" i="1"/>
  <c r="E278" i="1"/>
  <c r="G278" i="1"/>
  <c r="E279" i="1"/>
  <c r="G279" i="1"/>
  <c r="E280" i="1"/>
  <c r="G280" i="1"/>
  <c r="E281" i="1"/>
  <c r="G281" i="1"/>
  <c r="E282" i="1"/>
  <c r="G282" i="1"/>
  <c r="E283" i="1"/>
  <c r="G283" i="1"/>
  <c r="E284" i="1"/>
  <c r="G284" i="1"/>
  <c r="E285" i="1"/>
  <c r="G285" i="1"/>
  <c r="E286" i="1"/>
  <c r="G286" i="1"/>
  <c r="E287" i="1"/>
  <c r="G287" i="1"/>
  <c r="E288" i="1"/>
  <c r="G288" i="1"/>
  <c r="E289" i="1"/>
  <c r="G289" i="1"/>
  <c r="E290" i="1"/>
  <c r="G290" i="1"/>
  <c r="E291" i="1"/>
  <c r="G291" i="1"/>
  <c r="E292" i="1"/>
  <c r="G292" i="1"/>
  <c r="E293" i="1"/>
  <c r="G293" i="1"/>
  <c r="E294" i="1"/>
  <c r="G294" i="1"/>
  <c r="E295" i="1"/>
  <c r="G295" i="1"/>
  <c r="E296" i="1"/>
  <c r="G296" i="1"/>
  <c r="E297" i="1"/>
  <c r="G297" i="1"/>
  <c r="E298" i="1"/>
  <c r="G298" i="1"/>
  <c r="E299" i="1"/>
  <c r="G299" i="1"/>
  <c r="E300" i="1"/>
  <c r="G300" i="1"/>
  <c r="E301" i="1"/>
  <c r="G301" i="1"/>
  <c r="E302" i="1"/>
  <c r="G302" i="1"/>
  <c r="E303" i="1"/>
  <c r="G303" i="1"/>
  <c r="E304" i="1"/>
  <c r="G304" i="1"/>
  <c r="E305" i="1"/>
  <c r="G305" i="1"/>
</calcChain>
</file>

<file path=xl/sharedStrings.xml><?xml version="1.0" encoding="utf-8"?>
<sst xmlns="http://schemas.openxmlformats.org/spreadsheetml/2006/main" count="92" uniqueCount="36">
  <si>
    <t>Distribuição de sustentação ASA SEM ENDPLATE (CG= 0,15 m ; INCIDENCIA DE 2,5°)</t>
  </si>
  <si>
    <t>Distribuição de sustentação ASA COM ENDPLATE (CG= 0,15 m ; INCIDENCIA = 2,5°)</t>
  </si>
  <si>
    <t>Condições</t>
  </si>
  <si>
    <t>Comparativo de Sustentação entre asa COM e SEM Endplate</t>
  </si>
  <si>
    <t>p [kg/m³]</t>
  </si>
  <si>
    <t>v [m/s]</t>
  </si>
  <si>
    <t>S [m²]</t>
  </si>
  <si>
    <t>Cl SEM ENDPLATE</t>
  </si>
  <si>
    <t>CL COM ENDPLATE</t>
  </si>
  <si>
    <t>Forç. Sustent. SEM Endplate</t>
  </si>
  <si>
    <t>Forç. Sustent. Com Endplate</t>
  </si>
  <si>
    <t>Envergadura</t>
  </si>
  <si>
    <t>% Envergadura</t>
  </si>
  <si>
    <t>CL</t>
  </si>
  <si>
    <t>Envergadura [m]</t>
  </si>
  <si>
    <t>Envergadura [%]</t>
  </si>
  <si>
    <t>Força de Sust, [N]</t>
  </si>
  <si>
    <t>Momento Torsor</t>
  </si>
  <si>
    <t>Esforço Cortante</t>
  </si>
  <si>
    <t>Momento Fletor</t>
  </si>
  <si>
    <t>Força de Sust. [N]</t>
  </si>
  <si>
    <t>Momento Torsor [N.m]</t>
  </si>
  <si>
    <t>L=1/2*p*v²*S*Cl</t>
  </si>
  <si>
    <t>Distribuição de sustentação ASA SEM ENDPLATE (CG= 0,15 m ; INCIDENCIA DE 21° )</t>
  </si>
  <si>
    <t>Distribuição de sustentação ASA COM ENDPLATE (CG= 0,15 m ; INCIDENCIA = 21°)</t>
  </si>
  <si>
    <t>CL 0°</t>
  </si>
  <si>
    <t>CL 27,5°</t>
  </si>
  <si>
    <t>Força de Sust. [N] 0°</t>
  </si>
  <si>
    <t>Força de Sust. [N] 27,5°</t>
  </si>
  <si>
    <t>Momento Torsor [N.m] 0°</t>
  </si>
  <si>
    <t>Momento Torsor [N.m] 27,5°</t>
  </si>
  <si>
    <t>Esforço Cortante 0°</t>
  </si>
  <si>
    <t xml:space="preserve">Distribuição de sustentação ASA </t>
  </si>
  <si>
    <t>Esforço Cortante 27,5°</t>
  </si>
  <si>
    <t>Momento Fletor 0°</t>
  </si>
  <si>
    <t>Momento Fletor 27,5°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</si>
</sst>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000"/>
    <numFmt numFmtId="165" formatCode="0.000000000"/>
    <numFmt numFmtId="166" formatCode="0.0000%"/>
    <numFmt numFmtId="167" formatCode="0.0000000000"/>
    <numFmt numFmtId="168" formatCode="0.00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758C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vertical="center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9" fontId="0" fillId="0" borderId="1" xfId="2" applyFont="1" applyBorder="1" applyAlignment="1"/>
    <xf numFmtId="165" fontId="0" fillId="0" borderId="1" xfId="0" applyNumberFormat="1" applyBorder="1"/>
    <xf numFmtId="0" fontId="4" fillId="0" borderId="1" xfId="0" applyFont="1" applyBorder="1" applyAlignment="1">
      <alignment horizontal="right" wrapText="1"/>
    </xf>
    <xf numFmtId="166" fontId="0" fillId="0" borderId="1" xfId="2" applyNumberFormat="1" applyFont="1" applyBorder="1" applyAlignment="1"/>
    <xf numFmtId="11" fontId="0" fillId="0" borderId="1" xfId="0" applyNumberFormat="1" applyBorder="1"/>
    <xf numFmtId="0" fontId="3" fillId="5" borderId="1" xfId="0" applyFont="1" applyFill="1" applyBorder="1"/>
    <xf numFmtId="0" fontId="0" fillId="0" borderId="0" xfId="0" applyAlignment="1">
      <alignment horizontal="center" vertical="center"/>
    </xf>
    <xf numFmtId="0" fontId="5" fillId="6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6" fontId="0" fillId="0" borderId="1" xfId="2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/>
    <xf numFmtId="167" fontId="0" fillId="0" borderId="1" xfId="0" applyNumberFormat="1" applyBorder="1"/>
    <xf numFmtId="2" fontId="0" fillId="0" borderId="1" xfId="1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6" fontId="0" fillId="0" borderId="1" xfId="2" applyNumberFormat="1" applyFont="1" applyFill="1" applyBorder="1" applyAlignment="1"/>
    <xf numFmtId="43" fontId="0" fillId="0" borderId="1" xfId="1" applyFont="1" applyFill="1" applyBorder="1" applyAlignment="1">
      <alignment vertical="center"/>
    </xf>
    <xf numFmtId="0" fontId="0" fillId="9" borderId="1" xfId="0" applyFill="1" applyBorder="1"/>
    <xf numFmtId="166" fontId="0" fillId="9" borderId="1" xfId="2" applyNumberFormat="1" applyFont="1" applyFill="1" applyBorder="1" applyAlignment="1"/>
    <xf numFmtId="43" fontId="0" fillId="9" borderId="1" xfId="1" applyFont="1" applyFill="1" applyBorder="1" applyAlignment="1">
      <alignment vertical="center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right" wrapText="1"/>
    </xf>
    <xf numFmtId="167" fontId="0" fillId="9" borderId="1" xfId="0" applyNumberFormat="1" applyFill="1" applyBorder="1"/>
    <xf numFmtId="0" fontId="0" fillId="9" borderId="1" xfId="0" applyFill="1" applyBorder="1" applyAlignment="1">
      <alignment horizontal="center" vertical="center"/>
    </xf>
    <xf numFmtId="166" fontId="0" fillId="0" borderId="1" xfId="2" applyNumberFormat="1" applyFon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vertical="center"/>
    </xf>
    <xf numFmtId="3" fontId="0" fillId="9" borderId="1" xfId="0" applyNumberFormat="1" applyFill="1" applyBorder="1"/>
    <xf numFmtId="0" fontId="0" fillId="9" borderId="1" xfId="1" applyNumberFormat="1" applyFont="1" applyFill="1" applyBorder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2" fontId="0" fillId="0" borderId="1" xfId="1" applyNumberFormat="1" applyFon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166" fontId="0" fillId="9" borderId="1" xfId="2" applyNumberFormat="1" applyFont="1" applyFill="1" applyBorder="1" applyAlignment="1">
      <alignment horizontal="center" vertical="center"/>
    </xf>
    <xf numFmtId="2" fontId="0" fillId="9" borderId="1" xfId="1" applyNumberFormat="1" applyFon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right" wrapText="1"/>
    </xf>
    <xf numFmtId="0" fontId="0" fillId="7" borderId="1" xfId="0" applyFill="1" applyBorder="1"/>
    <xf numFmtId="166" fontId="0" fillId="7" borderId="1" xfId="2" applyNumberFormat="1" applyFont="1" applyFill="1" applyBorder="1" applyAlignment="1"/>
    <xf numFmtId="43" fontId="0" fillId="7" borderId="1" xfId="1" applyFont="1" applyFill="1" applyBorder="1" applyAlignment="1">
      <alignment vertical="center"/>
    </xf>
    <xf numFmtId="167" fontId="0" fillId="7" borderId="1" xfId="0" applyNumberFormat="1" applyFill="1" applyBorder="1"/>
    <xf numFmtId="0" fontId="0" fillId="7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right" wrapText="1"/>
    </xf>
    <xf numFmtId="0" fontId="0" fillId="10" borderId="1" xfId="0" applyFill="1" applyBorder="1"/>
    <xf numFmtId="166" fontId="0" fillId="10" borderId="1" xfId="2" applyNumberFormat="1" applyFont="1" applyFill="1" applyBorder="1" applyAlignment="1"/>
    <xf numFmtId="43" fontId="0" fillId="10" borderId="1" xfId="1" applyFont="1" applyFill="1" applyBorder="1" applyAlignment="1">
      <alignment vertical="center"/>
    </xf>
    <xf numFmtId="167" fontId="0" fillId="10" borderId="1" xfId="0" applyNumberFormat="1" applyFill="1" applyBorder="1"/>
    <xf numFmtId="0" fontId="0" fillId="10" borderId="1" xfId="0" applyFill="1" applyBorder="1" applyAlignment="1">
      <alignment horizontal="center" vertical="center"/>
    </xf>
    <xf numFmtId="2" fontId="0" fillId="0" borderId="1" xfId="1" applyNumberFormat="1" applyFont="1" applyBorder="1" applyAlignment="1">
      <alignment vertical="center"/>
    </xf>
    <xf numFmtId="165" fontId="0" fillId="10" borderId="1" xfId="0" applyNumberFormat="1" applyFill="1" applyBorder="1"/>
    <xf numFmtId="165" fontId="0" fillId="7" borderId="1" xfId="0" applyNumberFormat="1" applyFill="1" applyBorder="1"/>
    <xf numFmtId="164" fontId="0" fillId="7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CC00FF"/>
      <color rgb="FF0758C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Esforço Cortante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CRUZEIRO'!$C$6:$C$105</c:f>
              <c:numCache>
                <c:formatCode>0.000000000</c:formatCode>
                <c:ptCount val="100"/>
                <c:pt idx="0">
                  <c:v>-0.875</c:v>
                </c:pt>
                <c:pt idx="1">
                  <c:v>-0.873</c:v>
                </c:pt>
                <c:pt idx="2" formatCode="General">
                  <c:v>-0.87052498489999997</c:v>
                </c:pt>
                <c:pt idx="3" formatCode="General">
                  <c:v>-0.86640603100000002</c:v>
                </c:pt>
                <c:pt idx="4" formatCode="General">
                  <c:v>-0.86093167059999998</c:v>
                </c:pt>
                <c:pt idx="5" formatCode="General">
                  <c:v>-0.85411690829999998</c:v>
                </c:pt>
                <c:pt idx="6" formatCode="General">
                  <c:v>-0.84598042299999998</c:v>
                </c:pt>
                <c:pt idx="7" formatCode="General">
                  <c:v>-0.83654451620000003</c:v>
                </c:pt>
                <c:pt idx="8" formatCode="General">
                  <c:v>-0.82583505099999999</c:v>
                </c:pt>
                <c:pt idx="9" formatCode="General">
                  <c:v>-0.8138813815</c:v>
                </c:pt>
                <c:pt idx="10" formatCode="General">
                  <c:v>-0.80071627170000004</c:v>
                </c:pt>
                <c:pt idx="11" formatCode="General">
                  <c:v>-0.78637580630000004</c:v>
                </c:pt>
                <c:pt idx="12" formatCode="General">
                  <c:v>-0.77089929150000003</c:v>
                </c:pt>
                <c:pt idx="13" formatCode="General">
                  <c:v>-0.75432914750000002</c:v>
                </c:pt>
                <c:pt idx="14" formatCode="General">
                  <c:v>-0.73671079169999998</c:v>
                </c:pt>
                <c:pt idx="15" formatCode="General">
                  <c:v>-0.71809251480000003</c:v>
                </c:pt>
                <c:pt idx="16" formatCode="General">
                  <c:v>-0.69852534840000002</c:v>
                </c:pt>
                <c:pt idx="17" formatCode="General">
                  <c:v>-0.67806292459999995</c:v>
                </c:pt>
                <c:pt idx="18" formatCode="General">
                  <c:v>-0.65676132949999999</c:v>
                </c:pt>
                <c:pt idx="19" formatCode="General">
                  <c:v>-0.63467894930000002</c:v>
                </c:pt>
                <c:pt idx="20" formatCode="General">
                  <c:v>-0.6118763102</c:v>
                </c:pt>
                <c:pt idx="21" formatCode="General">
                  <c:v>-0.58841591280000005</c:v>
                </c:pt>
                <c:pt idx="22" formatCode="General">
                  <c:v>-0.56436206030000002</c:v>
                </c:pt>
                <c:pt idx="23" formatCode="General">
                  <c:v>-0.53978068260000001</c:v>
                </c:pt>
                <c:pt idx="24" formatCode="General">
                  <c:v>-0.51473915569999995</c:v>
                </c:pt>
                <c:pt idx="25" formatCode="General">
                  <c:v>-0.48930611660000001</c:v>
                </c:pt>
                <c:pt idx="26" formatCode="General">
                  <c:v>-0.46355127550000003</c:v>
                </c:pt>
                <c:pt idx="27" formatCode="General">
                  <c:v>-0.4375452246</c:v>
                </c:pt>
                <c:pt idx="28" formatCode="General">
                  <c:v>-0.41135924470000002</c:v>
                </c:pt>
                <c:pt idx="29" formatCode="General">
                  <c:v>-0.38506510980000003</c:v>
                </c:pt>
                <c:pt idx="30" formatCode="General">
                  <c:v>-0.37132677819999999</c:v>
                </c:pt>
                <c:pt idx="31" formatCode="General">
                  <c:v>-0.36903742509999998</c:v>
                </c:pt>
                <c:pt idx="32" formatCode="General">
                  <c:v>-0.36447283359999999</c:v>
                </c:pt>
                <c:pt idx="33" formatCode="General">
                  <c:v>-0.35766114589999998</c:v>
                </c:pt>
                <c:pt idx="34" formatCode="General">
                  <c:v>-0.34864435830000001</c:v>
                </c:pt>
                <c:pt idx="35" formatCode="General">
                  <c:v>-0.33747806219999998</c:v>
                </c:pt>
                <c:pt idx="36" formatCode="General">
                  <c:v>-0.32423110170000002</c:v>
                </c:pt>
                <c:pt idx="37" formatCode="General">
                  <c:v>-0.30898514869999999</c:v>
                </c:pt>
                <c:pt idx="38" formatCode="General">
                  <c:v>-0.29183419939999999</c:v>
                </c:pt>
                <c:pt idx="39" formatCode="General">
                  <c:v>-0.27288399530000002</c:v>
                </c:pt>
                <c:pt idx="40" formatCode="General">
                  <c:v>-0.25225137050000002</c:v>
                </c:pt>
                <c:pt idx="41" formatCode="General">
                  <c:v>-0.23006353230000001</c:v>
                </c:pt>
                <c:pt idx="42" formatCode="General">
                  <c:v>-0.20645727580000001</c:v>
                </c:pt>
                <c:pt idx="43" formatCode="General">
                  <c:v>-0.18157814150000001</c:v>
                </c:pt>
                <c:pt idx="44" formatCode="General">
                  <c:v>-0.1555795177</c:v>
                </c:pt>
                <c:pt idx="45" formatCode="General">
                  <c:v>-0.12862169439999999</c:v>
                </c:pt>
                <c:pt idx="46" formatCode="General">
                  <c:v>-0.1008708755</c:v>
                </c:pt>
                <c:pt idx="47" formatCode="General">
                  <c:v>-7.2498154179999996E-2</c:v>
                </c:pt>
                <c:pt idx="48" formatCode="General">
                  <c:v>-4.367845762E-2</c:v>
                </c:pt>
                <c:pt idx="49" formatCode="General">
                  <c:v>-1.458946885E-2</c:v>
                </c:pt>
                <c:pt idx="50" formatCode="General">
                  <c:v>1.458946885E-2</c:v>
                </c:pt>
                <c:pt idx="51" formatCode="General">
                  <c:v>4.367845762E-2</c:v>
                </c:pt>
                <c:pt idx="52" formatCode="General">
                  <c:v>7.2498154179999996E-2</c:v>
                </c:pt>
                <c:pt idx="53" formatCode="General">
                  <c:v>0.1008708755</c:v>
                </c:pt>
                <c:pt idx="54" formatCode="General">
                  <c:v>0.12862169439999999</c:v>
                </c:pt>
                <c:pt idx="55" formatCode="General">
                  <c:v>0.1555795177</c:v>
                </c:pt>
                <c:pt idx="56" formatCode="General">
                  <c:v>0.18157814150000001</c:v>
                </c:pt>
                <c:pt idx="57" formatCode="General">
                  <c:v>0.20645727580000001</c:v>
                </c:pt>
                <c:pt idx="58" formatCode="General">
                  <c:v>0.23006353230000001</c:v>
                </c:pt>
                <c:pt idx="59" formatCode="General">
                  <c:v>0.25225137050000002</c:v>
                </c:pt>
                <c:pt idx="60" formatCode="General">
                  <c:v>0.27288399530000002</c:v>
                </c:pt>
                <c:pt idx="61" formatCode="General">
                  <c:v>0.29183419939999999</c:v>
                </c:pt>
                <c:pt idx="62" formatCode="General">
                  <c:v>0.30898514869999999</c:v>
                </c:pt>
                <c:pt idx="63" formatCode="General">
                  <c:v>0.32423110170000002</c:v>
                </c:pt>
                <c:pt idx="64" formatCode="General">
                  <c:v>0.33747806219999998</c:v>
                </c:pt>
                <c:pt idx="65" formatCode="General">
                  <c:v>0.34864435830000001</c:v>
                </c:pt>
                <c:pt idx="66" formatCode="General">
                  <c:v>0.35766114589999998</c:v>
                </c:pt>
                <c:pt idx="67" formatCode="General">
                  <c:v>0.36447283359999999</c:v>
                </c:pt>
                <c:pt idx="68" formatCode="General">
                  <c:v>0.36903742509999998</c:v>
                </c:pt>
                <c:pt idx="69" formatCode="General">
                  <c:v>0.37132677819999999</c:v>
                </c:pt>
                <c:pt idx="70" formatCode="General">
                  <c:v>0.38506510980000003</c:v>
                </c:pt>
                <c:pt idx="71" formatCode="General">
                  <c:v>0.41135924470000002</c:v>
                </c:pt>
                <c:pt idx="72" formatCode="General">
                  <c:v>0.4375452246</c:v>
                </c:pt>
                <c:pt idx="73" formatCode="General">
                  <c:v>0.46355127550000003</c:v>
                </c:pt>
                <c:pt idx="74" formatCode="General">
                  <c:v>0.48930611660000001</c:v>
                </c:pt>
                <c:pt idx="75" formatCode="General">
                  <c:v>0.51473915569999995</c:v>
                </c:pt>
                <c:pt idx="76" formatCode="General">
                  <c:v>0.53978068260000001</c:v>
                </c:pt>
                <c:pt idx="77" formatCode="General">
                  <c:v>0.56436206030000002</c:v>
                </c:pt>
                <c:pt idx="78" formatCode="General">
                  <c:v>0.58841591280000005</c:v>
                </c:pt>
                <c:pt idx="79" formatCode="General">
                  <c:v>0.6118763102</c:v>
                </c:pt>
                <c:pt idx="80" formatCode="General">
                  <c:v>0.63467894930000002</c:v>
                </c:pt>
                <c:pt idx="81" formatCode="General">
                  <c:v>0.65676132949999999</c:v>
                </c:pt>
                <c:pt idx="82" formatCode="General">
                  <c:v>0.67806292459999995</c:v>
                </c:pt>
                <c:pt idx="83" formatCode="General">
                  <c:v>0.69852534840000002</c:v>
                </c:pt>
                <c:pt idx="84" formatCode="General">
                  <c:v>0.71809251480000003</c:v>
                </c:pt>
                <c:pt idx="85" formatCode="General">
                  <c:v>0.73671079169999998</c:v>
                </c:pt>
                <c:pt idx="86" formatCode="General">
                  <c:v>0.75432914750000002</c:v>
                </c:pt>
                <c:pt idx="87" formatCode="General">
                  <c:v>0.77089929150000003</c:v>
                </c:pt>
                <c:pt idx="88" formatCode="General">
                  <c:v>0.78637580630000004</c:v>
                </c:pt>
                <c:pt idx="89" formatCode="General">
                  <c:v>0.80071627170000004</c:v>
                </c:pt>
                <c:pt idx="90" formatCode="General">
                  <c:v>0.8138813815</c:v>
                </c:pt>
                <c:pt idx="91" formatCode="General">
                  <c:v>0.82583505099999999</c:v>
                </c:pt>
                <c:pt idx="92" formatCode="General">
                  <c:v>0.83654451620000003</c:v>
                </c:pt>
                <c:pt idx="93" formatCode="General">
                  <c:v>0.84598042299999998</c:v>
                </c:pt>
                <c:pt idx="94" formatCode="General">
                  <c:v>0.85411690829999998</c:v>
                </c:pt>
                <c:pt idx="95" formatCode="General">
                  <c:v>0.86093167059999998</c:v>
                </c:pt>
                <c:pt idx="96" formatCode="General">
                  <c:v>0.86640603100000002</c:v>
                </c:pt>
                <c:pt idx="97" formatCode="General">
                  <c:v>0.87052498489999997</c:v>
                </c:pt>
                <c:pt idx="98">
                  <c:v>0.873</c:v>
                </c:pt>
                <c:pt idx="99">
                  <c:v>0.875</c:v>
                </c:pt>
              </c:numCache>
            </c:numRef>
          </c:xVal>
          <c:yVal>
            <c:numRef>
              <c:f>'Distrib. ASA INCD. CRUZEIRO'!$I$6:$I$105</c:f>
              <c:numCache>
                <c:formatCode>General</c:formatCode>
                <c:ptCount val="100"/>
                <c:pt idx="0">
                  <c:v>3.816823338E-3</c:v>
                </c:pt>
                <c:pt idx="1">
                  <c:v>2.334787592E-2</c:v>
                </c:pt>
                <c:pt idx="2">
                  <c:v>6.9302020850000007E-2</c:v>
                </c:pt>
                <c:pt idx="3">
                  <c:v>0.1506743995</c:v>
                </c:pt>
                <c:pt idx="4">
                  <c:v>0.2749432316</c:v>
                </c:pt>
                <c:pt idx="5">
                  <c:v>0.44848310790000001</c:v>
                </c:pt>
                <c:pt idx="6">
                  <c:v>0.67684292560000003</c:v>
                </c:pt>
                <c:pt idx="7">
                  <c:v>0.9649113695</c:v>
                </c:pt>
                <c:pt idx="8">
                  <c:v>1.3170304660000001</c:v>
                </c:pt>
                <c:pt idx="9">
                  <c:v>1.7370810839999999</c:v>
                </c:pt>
                <c:pt idx="10">
                  <c:v>2.2285476809999998</c:v>
                </c:pt>
                <c:pt idx="11">
                  <c:v>2.7945644129999998</c:v>
                </c:pt>
                <c:pt idx="12">
                  <c:v>3.4379433659999998</c:v>
                </c:pt>
                <c:pt idx="13">
                  <c:v>4.1611859280000001</c:v>
                </c:pt>
                <c:pt idx="14">
                  <c:v>4.966479069</c:v>
                </c:pt>
                <c:pt idx="15">
                  <c:v>5.8556790960000002</c:v>
                </c:pt>
                <c:pt idx="16">
                  <c:v>6.8302858219999996</c:v>
                </c:pt>
                <c:pt idx="17">
                  <c:v>7.8941766500000004</c:v>
                </c:pt>
                <c:pt idx="18">
                  <c:v>9.0478829869999995</c:v>
                </c:pt>
                <c:pt idx="19">
                  <c:v>10.291184940000001</c:v>
                </c:pt>
                <c:pt idx="20">
                  <c:v>11.623285210000001</c:v>
                </c:pt>
                <c:pt idx="21">
                  <c:v>13.042791080000001</c:v>
                </c:pt>
                <c:pt idx="22">
                  <c:v>14.547699679999999</c:v>
                </c:pt>
                <c:pt idx="23">
                  <c:v>16.135387300000001</c:v>
                </c:pt>
                <c:pt idx="24">
                  <c:v>17.80260204</c:v>
                </c:pt>
                <c:pt idx="25">
                  <c:v>19.54545778</c:v>
                </c:pt>
                <c:pt idx="26">
                  <c:v>21.359421860000001</c:v>
                </c:pt>
                <c:pt idx="27">
                  <c:v>23.239272209999999</c:v>
                </c:pt>
                <c:pt idx="28">
                  <c:v>25.179872459999999</c:v>
                </c:pt>
                <c:pt idx="29">
                  <c:v>27.176540750000001</c:v>
                </c:pt>
                <c:pt idx="30">
                  <c:v>27.255340489999998</c:v>
                </c:pt>
                <c:pt idx="31">
                  <c:v>27.492229300000002</c:v>
                </c:pt>
                <c:pt idx="32">
                  <c:v>27.887009500000001</c:v>
                </c:pt>
                <c:pt idx="33">
                  <c:v>28.438340069999999</c:v>
                </c:pt>
                <c:pt idx="34">
                  <c:v>29.143839310000001</c:v>
                </c:pt>
                <c:pt idx="35">
                  <c:v>30.0001502</c:v>
                </c:pt>
                <c:pt idx="36">
                  <c:v>31.003417819999999</c:v>
                </c:pt>
                <c:pt idx="37">
                  <c:v>32.149321929999999</c:v>
                </c:pt>
                <c:pt idx="38">
                  <c:v>33.43204034</c:v>
                </c:pt>
                <c:pt idx="39">
                  <c:v>34.844752200000002</c:v>
                </c:pt>
                <c:pt idx="40">
                  <c:v>36.379631930000002</c:v>
                </c:pt>
                <c:pt idx="41">
                  <c:v>38.027860070000003</c:v>
                </c:pt>
                <c:pt idx="42">
                  <c:v>39.779652779999999</c:v>
                </c:pt>
                <c:pt idx="43">
                  <c:v>41.624310559999998</c:v>
                </c:pt>
                <c:pt idx="44">
                  <c:v>43.550285989999999</c:v>
                </c:pt>
                <c:pt idx="45">
                  <c:v>45.545269189999999</c:v>
                </c:pt>
                <c:pt idx="46">
                  <c:v>47.596289259999999</c:v>
                </c:pt>
                <c:pt idx="47">
                  <c:v>49.689829529999997</c:v>
                </c:pt>
                <c:pt idx="48">
                  <c:v>51.811954010000001</c:v>
                </c:pt>
                <c:pt idx="49">
                  <c:v>53.948442399999998</c:v>
                </c:pt>
                <c:pt idx="50">
                  <c:v>-53.948442399999998</c:v>
                </c:pt>
                <c:pt idx="51">
                  <c:v>-51.811954010000001</c:v>
                </c:pt>
                <c:pt idx="52">
                  <c:v>-49.689829529999997</c:v>
                </c:pt>
                <c:pt idx="53">
                  <c:v>-47.596289259999999</c:v>
                </c:pt>
                <c:pt idx="54">
                  <c:v>-45.545269189999999</c:v>
                </c:pt>
                <c:pt idx="55">
                  <c:v>-43.550285989999999</c:v>
                </c:pt>
                <c:pt idx="56">
                  <c:v>-41.624310559999998</c:v>
                </c:pt>
                <c:pt idx="57">
                  <c:v>-39.779652779999999</c:v>
                </c:pt>
                <c:pt idx="58">
                  <c:v>-38.027860070000003</c:v>
                </c:pt>
                <c:pt idx="59">
                  <c:v>-36.379631930000002</c:v>
                </c:pt>
                <c:pt idx="60">
                  <c:v>-34.844752200000002</c:v>
                </c:pt>
                <c:pt idx="61">
                  <c:v>-33.43204034</c:v>
                </c:pt>
                <c:pt idx="62">
                  <c:v>-32.149321929999999</c:v>
                </c:pt>
                <c:pt idx="63">
                  <c:v>-31.003417819999999</c:v>
                </c:pt>
                <c:pt idx="64">
                  <c:v>-30.0001502</c:v>
                </c:pt>
                <c:pt idx="65">
                  <c:v>-29.143839310000001</c:v>
                </c:pt>
                <c:pt idx="66">
                  <c:v>-28.438340069999999</c:v>
                </c:pt>
                <c:pt idx="67">
                  <c:v>-27.887009500000001</c:v>
                </c:pt>
                <c:pt idx="68">
                  <c:v>-27.492229300000002</c:v>
                </c:pt>
                <c:pt idx="69">
                  <c:v>-27.255340489999998</c:v>
                </c:pt>
                <c:pt idx="70">
                  <c:v>-27.176540750000001</c:v>
                </c:pt>
                <c:pt idx="71">
                  <c:v>-25.179872459999999</c:v>
                </c:pt>
                <c:pt idx="72">
                  <c:v>-23.239272209999999</c:v>
                </c:pt>
                <c:pt idx="73">
                  <c:v>-21.359421860000001</c:v>
                </c:pt>
                <c:pt idx="74">
                  <c:v>-19.54545778</c:v>
                </c:pt>
                <c:pt idx="75">
                  <c:v>-17.80260204</c:v>
                </c:pt>
                <c:pt idx="76">
                  <c:v>-16.135387300000001</c:v>
                </c:pt>
                <c:pt idx="77">
                  <c:v>-14.547699679999999</c:v>
                </c:pt>
                <c:pt idx="78">
                  <c:v>-13.042791080000001</c:v>
                </c:pt>
                <c:pt idx="79">
                  <c:v>-11.623285210000001</c:v>
                </c:pt>
                <c:pt idx="80">
                  <c:v>-10.291184940000001</c:v>
                </c:pt>
                <c:pt idx="81">
                  <c:v>-9.0478829869999995</c:v>
                </c:pt>
                <c:pt idx="82">
                  <c:v>-7.8941766500000004</c:v>
                </c:pt>
                <c:pt idx="83">
                  <c:v>-6.8302858219999996</c:v>
                </c:pt>
                <c:pt idx="84">
                  <c:v>-5.8556790960000002</c:v>
                </c:pt>
                <c:pt idx="85">
                  <c:v>-4.966479069</c:v>
                </c:pt>
                <c:pt idx="86">
                  <c:v>-4.1611859280000001</c:v>
                </c:pt>
                <c:pt idx="87">
                  <c:v>-3.4379433659999998</c:v>
                </c:pt>
                <c:pt idx="88">
                  <c:v>-2.7945644129999998</c:v>
                </c:pt>
                <c:pt idx="89">
                  <c:v>-2.2285476809999998</c:v>
                </c:pt>
                <c:pt idx="90">
                  <c:v>-1.7370810839999999</c:v>
                </c:pt>
                <c:pt idx="91">
                  <c:v>-1.3170304660000001</c:v>
                </c:pt>
                <c:pt idx="92">
                  <c:v>-0.9649113695</c:v>
                </c:pt>
                <c:pt idx="93">
                  <c:v>-0.67684292560000003</c:v>
                </c:pt>
                <c:pt idx="94">
                  <c:v>-0.44848310790000001</c:v>
                </c:pt>
                <c:pt idx="95">
                  <c:v>-0.2749432316</c:v>
                </c:pt>
                <c:pt idx="96">
                  <c:v>-0.1506743995</c:v>
                </c:pt>
                <c:pt idx="97">
                  <c:v>-6.9302020850000007E-2</c:v>
                </c:pt>
                <c:pt idx="98">
                  <c:v>-2.334787592E-2</c:v>
                </c:pt>
                <c:pt idx="99">
                  <c:v>-3.816823338E-3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DD-4AFD-9778-37102203F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4831"/>
        <c:axId val="43953311"/>
      </c:scatterChart>
      <c:valAx>
        <c:axId val="4396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53311"/>
        <c:crosses val="autoZero"/>
        <c:crossBetween val="midCat"/>
      </c:valAx>
      <c:valAx>
        <c:axId val="439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64831"/>
        <c:crossesAt val="0"/>
        <c:crossBetween val="midCat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Fletor</a:t>
            </a:r>
            <a:r>
              <a:rPr lang="pt-BR" baseline="0"/>
              <a:t> x 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CRUZEIRO'!$C$6:$C$105</c:f>
              <c:numCache>
                <c:formatCode>0.000000000</c:formatCode>
                <c:ptCount val="100"/>
                <c:pt idx="0">
                  <c:v>-0.875</c:v>
                </c:pt>
                <c:pt idx="1">
                  <c:v>-0.873</c:v>
                </c:pt>
                <c:pt idx="2" formatCode="General">
                  <c:v>-0.87052498489999997</c:v>
                </c:pt>
                <c:pt idx="3" formatCode="General">
                  <c:v>-0.86640603100000002</c:v>
                </c:pt>
                <c:pt idx="4" formatCode="General">
                  <c:v>-0.86093167059999998</c:v>
                </c:pt>
                <c:pt idx="5" formatCode="General">
                  <c:v>-0.85411690829999998</c:v>
                </c:pt>
                <c:pt idx="6" formatCode="General">
                  <c:v>-0.84598042299999998</c:v>
                </c:pt>
                <c:pt idx="7" formatCode="General">
                  <c:v>-0.83654451620000003</c:v>
                </c:pt>
                <c:pt idx="8" formatCode="General">
                  <c:v>-0.82583505099999999</c:v>
                </c:pt>
                <c:pt idx="9" formatCode="General">
                  <c:v>-0.8138813815</c:v>
                </c:pt>
                <c:pt idx="10" formatCode="General">
                  <c:v>-0.80071627170000004</c:v>
                </c:pt>
                <c:pt idx="11" formatCode="General">
                  <c:v>-0.78637580630000004</c:v>
                </c:pt>
                <c:pt idx="12" formatCode="General">
                  <c:v>-0.77089929150000003</c:v>
                </c:pt>
                <c:pt idx="13" formatCode="General">
                  <c:v>-0.75432914750000002</c:v>
                </c:pt>
                <c:pt idx="14" formatCode="General">
                  <c:v>-0.73671079169999998</c:v>
                </c:pt>
                <c:pt idx="15" formatCode="General">
                  <c:v>-0.71809251480000003</c:v>
                </c:pt>
                <c:pt idx="16" formatCode="General">
                  <c:v>-0.69852534840000002</c:v>
                </c:pt>
                <c:pt idx="17" formatCode="General">
                  <c:v>-0.67806292459999995</c:v>
                </c:pt>
                <c:pt idx="18" formatCode="General">
                  <c:v>-0.65676132949999999</c:v>
                </c:pt>
                <c:pt idx="19" formatCode="General">
                  <c:v>-0.63467894930000002</c:v>
                </c:pt>
                <c:pt idx="20" formatCode="General">
                  <c:v>-0.6118763102</c:v>
                </c:pt>
                <c:pt idx="21" formatCode="General">
                  <c:v>-0.58841591280000005</c:v>
                </c:pt>
                <c:pt idx="22" formatCode="General">
                  <c:v>-0.56436206030000002</c:v>
                </c:pt>
                <c:pt idx="23" formatCode="General">
                  <c:v>-0.53978068260000001</c:v>
                </c:pt>
                <c:pt idx="24" formatCode="General">
                  <c:v>-0.51473915569999995</c:v>
                </c:pt>
                <c:pt idx="25" formatCode="General">
                  <c:v>-0.48930611660000001</c:v>
                </c:pt>
                <c:pt idx="26" formatCode="General">
                  <c:v>-0.46355127550000003</c:v>
                </c:pt>
                <c:pt idx="27" formatCode="General">
                  <c:v>-0.4375452246</c:v>
                </c:pt>
                <c:pt idx="28" formatCode="General">
                  <c:v>-0.41135924470000002</c:v>
                </c:pt>
                <c:pt idx="29" formatCode="General">
                  <c:v>-0.38506510980000003</c:v>
                </c:pt>
                <c:pt idx="30" formatCode="General">
                  <c:v>-0.37132677819999999</c:v>
                </c:pt>
                <c:pt idx="31" formatCode="General">
                  <c:v>-0.36903742509999998</c:v>
                </c:pt>
                <c:pt idx="32" formatCode="General">
                  <c:v>-0.36447283359999999</c:v>
                </c:pt>
                <c:pt idx="33" formatCode="General">
                  <c:v>-0.35766114589999998</c:v>
                </c:pt>
                <c:pt idx="34" formatCode="General">
                  <c:v>-0.34864435830000001</c:v>
                </c:pt>
                <c:pt idx="35" formatCode="General">
                  <c:v>-0.33747806219999998</c:v>
                </c:pt>
                <c:pt idx="36" formatCode="General">
                  <c:v>-0.32423110170000002</c:v>
                </c:pt>
                <c:pt idx="37" formatCode="General">
                  <c:v>-0.30898514869999999</c:v>
                </c:pt>
                <c:pt idx="38" formatCode="General">
                  <c:v>-0.29183419939999999</c:v>
                </c:pt>
                <c:pt idx="39" formatCode="General">
                  <c:v>-0.27288399530000002</c:v>
                </c:pt>
                <c:pt idx="40" formatCode="General">
                  <c:v>-0.25225137050000002</c:v>
                </c:pt>
                <c:pt idx="41" formatCode="General">
                  <c:v>-0.23006353230000001</c:v>
                </c:pt>
                <c:pt idx="42" formatCode="General">
                  <c:v>-0.20645727580000001</c:v>
                </c:pt>
                <c:pt idx="43" formatCode="General">
                  <c:v>-0.18157814150000001</c:v>
                </c:pt>
                <c:pt idx="44" formatCode="General">
                  <c:v>-0.1555795177</c:v>
                </c:pt>
                <c:pt idx="45" formatCode="General">
                  <c:v>-0.12862169439999999</c:v>
                </c:pt>
                <c:pt idx="46" formatCode="General">
                  <c:v>-0.1008708755</c:v>
                </c:pt>
                <c:pt idx="47" formatCode="General">
                  <c:v>-7.2498154179999996E-2</c:v>
                </c:pt>
                <c:pt idx="48" formatCode="General">
                  <c:v>-4.367845762E-2</c:v>
                </c:pt>
                <c:pt idx="49" formatCode="General">
                  <c:v>-1.458946885E-2</c:v>
                </c:pt>
                <c:pt idx="50" formatCode="General">
                  <c:v>1.458946885E-2</c:v>
                </c:pt>
                <c:pt idx="51" formatCode="General">
                  <c:v>4.367845762E-2</c:v>
                </c:pt>
                <c:pt idx="52" formatCode="General">
                  <c:v>7.2498154179999996E-2</c:v>
                </c:pt>
                <c:pt idx="53" formatCode="General">
                  <c:v>0.1008708755</c:v>
                </c:pt>
                <c:pt idx="54" formatCode="General">
                  <c:v>0.12862169439999999</c:v>
                </c:pt>
                <c:pt idx="55" formatCode="General">
                  <c:v>0.1555795177</c:v>
                </c:pt>
                <c:pt idx="56" formatCode="General">
                  <c:v>0.18157814150000001</c:v>
                </c:pt>
                <c:pt idx="57" formatCode="General">
                  <c:v>0.20645727580000001</c:v>
                </c:pt>
                <c:pt idx="58" formatCode="General">
                  <c:v>0.23006353230000001</c:v>
                </c:pt>
                <c:pt idx="59" formatCode="General">
                  <c:v>0.25225137050000002</c:v>
                </c:pt>
                <c:pt idx="60" formatCode="General">
                  <c:v>0.27288399530000002</c:v>
                </c:pt>
                <c:pt idx="61" formatCode="General">
                  <c:v>0.29183419939999999</c:v>
                </c:pt>
                <c:pt idx="62" formatCode="General">
                  <c:v>0.30898514869999999</c:v>
                </c:pt>
                <c:pt idx="63" formatCode="General">
                  <c:v>0.32423110170000002</c:v>
                </c:pt>
                <c:pt idx="64" formatCode="General">
                  <c:v>0.33747806219999998</c:v>
                </c:pt>
                <c:pt idx="65" formatCode="General">
                  <c:v>0.34864435830000001</c:v>
                </c:pt>
                <c:pt idx="66" formatCode="General">
                  <c:v>0.35766114589999998</c:v>
                </c:pt>
                <c:pt idx="67" formatCode="General">
                  <c:v>0.36447283359999999</c:v>
                </c:pt>
                <c:pt idx="68" formatCode="General">
                  <c:v>0.36903742509999998</c:v>
                </c:pt>
                <c:pt idx="69" formatCode="General">
                  <c:v>0.37132677819999999</c:v>
                </c:pt>
                <c:pt idx="70" formatCode="General">
                  <c:v>0.38506510980000003</c:v>
                </c:pt>
                <c:pt idx="71" formatCode="General">
                  <c:v>0.41135924470000002</c:v>
                </c:pt>
                <c:pt idx="72" formatCode="General">
                  <c:v>0.4375452246</c:v>
                </c:pt>
                <c:pt idx="73" formatCode="General">
                  <c:v>0.46355127550000003</c:v>
                </c:pt>
                <c:pt idx="74" formatCode="General">
                  <c:v>0.48930611660000001</c:v>
                </c:pt>
                <c:pt idx="75" formatCode="General">
                  <c:v>0.51473915569999995</c:v>
                </c:pt>
                <c:pt idx="76" formatCode="General">
                  <c:v>0.53978068260000001</c:v>
                </c:pt>
                <c:pt idx="77" formatCode="General">
                  <c:v>0.56436206030000002</c:v>
                </c:pt>
                <c:pt idx="78" formatCode="General">
                  <c:v>0.58841591280000005</c:v>
                </c:pt>
                <c:pt idx="79" formatCode="General">
                  <c:v>0.6118763102</c:v>
                </c:pt>
                <c:pt idx="80" formatCode="General">
                  <c:v>0.63467894930000002</c:v>
                </c:pt>
                <c:pt idx="81" formatCode="General">
                  <c:v>0.65676132949999999</c:v>
                </c:pt>
                <c:pt idx="82" formatCode="General">
                  <c:v>0.67806292459999995</c:v>
                </c:pt>
                <c:pt idx="83" formatCode="General">
                  <c:v>0.69852534840000002</c:v>
                </c:pt>
                <c:pt idx="84" formatCode="General">
                  <c:v>0.71809251480000003</c:v>
                </c:pt>
                <c:pt idx="85" formatCode="General">
                  <c:v>0.73671079169999998</c:v>
                </c:pt>
                <c:pt idx="86" formatCode="General">
                  <c:v>0.75432914750000002</c:v>
                </c:pt>
                <c:pt idx="87" formatCode="General">
                  <c:v>0.77089929150000003</c:v>
                </c:pt>
                <c:pt idx="88" formatCode="General">
                  <c:v>0.78637580630000004</c:v>
                </c:pt>
                <c:pt idx="89" formatCode="General">
                  <c:v>0.80071627170000004</c:v>
                </c:pt>
                <c:pt idx="90" formatCode="General">
                  <c:v>0.8138813815</c:v>
                </c:pt>
                <c:pt idx="91" formatCode="General">
                  <c:v>0.82583505099999999</c:v>
                </c:pt>
                <c:pt idx="92" formatCode="General">
                  <c:v>0.83654451620000003</c:v>
                </c:pt>
                <c:pt idx="93" formatCode="General">
                  <c:v>0.84598042299999998</c:v>
                </c:pt>
                <c:pt idx="94" formatCode="General">
                  <c:v>0.85411690829999998</c:v>
                </c:pt>
                <c:pt idx="95" formatCode="General">
                  <c:v>0.86093167059999998</c:v>
                </c:pt>
                <c:pt idx="96" formatCode="General">
                  <c:v>0.86640603100000002</c:v>
                </c:pt>
                <c:pt idx="97" formatCode="General">
                  <c:v>0.87052498489999997</c:v>
                </c:pt>
                <c:pt idx="98">
                  <c:v>0.873</c:v>
                </c:pt>
                <c:pt idx="99">
                  <c:v>0.875</c:v>
                </c:pt>
              </c:numCache>
            </c:numRef>
          </c:xVal>
          <c:yVal>
            <c:numRef>
              <c:f>'Distrib. ASA INCD. CRUZEIRO'!$J$6:$J$105</c:f>
              <c:numCache>
                <c:formatCode>0.000000000</c:formatCode>
                <c:ptCount val="100"/>
                <c:pt idx="0" formatCode="0.00E+00">
                  <c:v>-2.7499999999999999E-6</c:v>
                </c:pt>
                <c:pt idx="1">
                  <c:v>-5.3100000000000003E-5</c:v>
                </c:pt>
                <c:pt idx="2">
                  <c:v>-3.0172518270000001E-4</c:v>
                </c:pt>
                <c:pt idx="3">
                  <c:v>-1.056436439E-3</c:v>
                </c:pt>
                <c:pt idx="4">
                  <c:v>-2.820590874E-3</c:v>
                </c:pt>
                <c:pt idx="5">
                  <c:v>-6.321623912E-3</c:v>
                </c:pt>
                <c:pt idx="6">
                  <c:v>-1.2531621979999999E-2</c:v>
                </c:pt>
                <c:pt idx="7" formatCode="General">
                  <c:v>-2.268090583E-2</c:v>
                </c:pt>
                <c:pt idx="8" formatCode="General">
                  <c:v>-3.8265248389999999E-2</c:v>
                </c:pt>
                <c:pt idx="9" formatCode="General">
                  <c:v>-6.1047220030000002E-2</c:v>
                </c:pt>
                <c:pt idx="10" formatCode="General">
                  <c:v>-9.3052036919999997E-2</c:v>
                </c:pt>
                <c:pt idx="11" formatCode="General">
                  <c:v>-0.1365581682</c:v>
                </c:pt>
                <c:pt idx="12" formatCode="General">
                  <c:v>-0.19408284140000001</c:v>
                </c:pt>
                <c:pt idx="13" formatCode="General">
                  <c:v>-0.2683624919</c:v>
                </c:pt>
                <c:pt idx="14" formatCode="General">
                  <c:v>-0.3623281431</c:v>
                </c:pt>
                <c:pt idx="15" formatCode="General">
                  <c:v>-0.47907569690000001</c:v>
                </c:pt>
                <c:pt idx="16" formatCode="General">
                  <c:v>-0.62183115030000002</c:v>
                </c:pt>
                <c:pt idx="17" formatCode="General">
                  <c:v>-0.79397115460000001</c:v>
                </c:pt>
                <c:pt idx="18" formatCode="General">
                  <c:v>-0.99892166540000005</c:v>
                </c:pt>
                <c:pt idx="19" formatCode="General">
                  <c:v>-1.2401006619999999</c:v>
                </c:pt>
                <c:pt idx="20" formatCode="General">
                  <c:v>-1.5208609719999999</c:v>
                </c:pt>
                <c:pt idx="21" formatCode="General">
                  <c:v>-1.8444301169999999</c:v>
                </c:pt>
                <c:pt idx="22" formatCode="General">
                  <c:v>-2.2138480610000002</c:v>
                </c:pt>
                <c:pt idx="23" formatCode="General">
                  <c:v>-2.6319038680000002</c:v>
                </c:pt>
                <c:pt idx="24" formatCode="General">
                  <c:v>-3.1010722780000002</c:v>
                </c:pt>
                <c:pt idx="25" formatCode="General">
                  <c:v>-3.623451239</c:v>
                </c:pt>
                <c:pt idx="26" formatCode="General">
                  <c:v>-4.2007012240000003</c:v>
                </c:pt>
                <c:pt idx="27" formatCode="General">
                  <c:v>-4.8339865189999998</c:v>
                </c:pt>
                <c:pt idx="28" formatCode="General">
                  <c:v>-5.5239418709999999</c:v>
                </c:pt>
                <c:pt idx="29" formatCode="General">
                  <c:v>-6.2706547510000004</c:v>
                </c:pt>
                <c:pt idx="30" formatCode="General">
                  <c:v>-6.3000614419999996</c:v>
                </c:pt>
                <c:pt idx="31" formatCode="General">
                  <c:v>-6.3888654010000003</c:v>
                </c:pt>
                <c:pt idx="32" formatCode="General">
                  <c:v>-6.5383801259999998</c:v>
                </c:pt>
                <c:pt idx="33" formatCode="General">
                  <c:v>-6.7505213680000002</c:v>
                </c:pt>
                <c:pt idx="34" formatCode="General">
                  <c:v>-7.0277359449999999</c:v>
                </c:pt>
                <c:pt idx="35" formatCode="General">
                  <c:v>-7.3729042600000003</c:v>
                </c:pt>
                <c:pt idx="36" formatCode="General">
                  <c:v>-7.78922516</c:v>
                </c:pt>
                <c:pt idx="37" formatCode="General">
                  <c:v>-8.2800845269999996</c:v>
                </c:pt>
                <c:pt idx="38" formatCode="General">
                  <c:v>-8.8488925829999996</c:v>
                </c:pt>
                <c:pt idx="39" formatCode="General">
                  <c:v>-9.4989114889999993</c:v>
                </c:pt>
                <c:pt idx="40" formatCode="General">
                  <c:v>-10.23307271</c:v>
                </c:pt>
                <c:pt idx="41" formatCode="General">
                  <c:v>-11.05378917</c:v>
                </c:pt>
                <c:pt idx="42" formatCode="General">
                  <c:v>-11.962767789999999</c:v>
                </c:pt>
                <c:pt idx="43" formatCode="General">
                  <c:v>-12.960828129999999</c:v>
                </c:pt>
                <c:pt idx="44" formatCode="General">
                  <c:v>-14.047733239999999</c:v>
                </c:pt>
                <c:pt idx="45" formatCode="General">
                  <c:v>-15.222038449999999</c:v>
                </c:pt>
                <c:pt idx="46" formatCode="General">
                  <c:v>-16.480963670000001</c:v>
                </c:pt>
                <c:pt idx="47" formatCode="General">
                  <c:v>-17.82029412</c:v>
                </c:pt>
                <c:pt idx="48" formatCode="General">
                  <c:v>-19.23431381</c:v>
                </c:pt>
                <c:pt idx="49" formatCode="General">
                  <c:v>-20.71577491</c:v>
                </c:pt>
                <c:pt idx="50" formatCode="General">
                  <c:v>-20.71577491</c:v>
                </c:pt>
                <c:pt idx="51" formatCode="General">
                  <c:v>-19.23431381</c:v>
                </c:pt>
                <c:pt idx="52" formatCode="General">
                  <c:v>-17.82029412</c:v>
                </c:pt>
                <c:pt idx="53" formatCode="General">
                  <c:v>-16.480963670000001</c:v>
                </c:pt>
                <c:pt idx="54" formatCode="General">
                  <c:v>-15.222038449999999</c:v>
                </c:pt>
                <c:pt idx="55" formatCode="General">
                  <c:v>-14.047733239999999</c:v>
                </c:pt>
                <c:pt idx="56" formatCode="General">
                  <c:v>-12.960828129999999</c:v>
                </c:pt>
                <c:pt idx="57" formatCode="General">
                  <c:v>-11.962767789999999</c:v>
                </c:pt>
                <c:pt idx="58" formatCode="General">
                  <c:v>-11.05378917</c:v>
                </c:pt>
                <c:pt idx="59" formatCode="General">
                  <c:v>-10.23307271</c:v>
                </c:pt>
                <c:pt idx="60" formatCode="General">
                  <c:v>-9.4989114889999993</c:v>
                </c:pt>
                <c:pt idx="61" formatCode="General">
                  <c:v>-8.8488925829999996</c:v>
                </c:pt>
                <c:pt idx="62" formatCode="General">
                  <c:v>-8.2800845269999996</c:v>
                </c:pt>
                <c:pt idx="63" formatCode="General">
                  <c:v>-7.78922516</c:v>
                </c:pt>
                <c:pt idx="64" formatCode="General">
                  <c:v>-7.3729042600000003</c:v>
                </c:pt>
                <c:pt idx="65" formatCode="General">
                  <c:v>-7.0277359449999999</c:v>
                </c:pt>
                <c:pt idx="66" formatCode="General">
                  <c:v>-6.7505213680000002</c:v>
                </c:pt>
                <c:pt idx="67" formatCode="General">
                  <c:v>-6.5383801259999998</c:v>
                </c:pt>
                <c:pt idx="68" formatCode="General">
                  <c:v>-6.3888654010000003</c:v>
                </c:pt>
                <c:pt idx="69" formatCode="General">
                  <c:v>-6.3000614419999996</c:v>
                </c:pt>
                <c:pt idx="70" formatCode="General">
                  <c:v>-6.2706547510000004</c:v>
                </c:pt>
                <c:pt idx="71" formatCode="General">
                  <c:v>-5.5239418709999999</c:v>
                </c:pt>
                <c:pt idx="72" formatCode="General">
                  <c:v>-4.8339865189999998</c:v>
                </c:pt>
                <c:pt idx="73" formatCode="General">
                  <c:v>-4.2007012240000003</c:v>
                </c:pt>
                <c:pt idx="74" formatCode="General">
                  <c:v>-3.623451239</c:v>
                </c:pt>
                <c:pt idx="75" formatCode="General">
                  <c:v>-3.1010722780000002</c:v>
                </c:pt>
                <c:pt idx="76" formatCode="General">
                  <c:v>-2.6319038680000002</c:v>
                </c:pt>
                <c:pt idx="77" formatCode="General">
                  <c:v>-2.2138480610000002</c:v>
                </c:pt>
                <c:pt idx="78" formatCode="General">
                  <c:v>-1.8444301169999999</c:v>
                </c:pt>
                <c:pt idx="79" formatCode="General">
                  <c:v>-1.5208609719999999</c:v>
                </c:pt>
                <c:pt idx="80" formatCode="General">
                  <c:v>-1.2401006619999999</c:v>
                </c:pt>
                <c:pt idx="81" formatCode="General">
                  <c:v>-0.99892166540000005</c:v>
                </c:pt>
                <c:pt idx="82" formatCode="General">
                  <c:v>-0.79397115460000001</c:v>
                </c:pt>
                <c:pt idx="83" formatCode="General">
                  <c:v>-0.62183115030000002</c:v>
                </c:pt>
                <c:pt idx="84" formatCode="General">
                  <c:v>-0.47907569690000001</c:v>
                </c:pt>
                <c:pt idx="85" formatCode="General">
                  <c:v>-0.3623281431</c:v>
                </c:pt>
                <c:pt idx="86" formatCode="General">
                  <c:v>-0.2683624919</c:v>
                </c:pt>
                <c:pt idx="87" formatCode="General">
                  <c:v>-0.19408284140000001</c:v>
                </c:pt>
                <c:pt idx="88" formatCode="General">
                  <c:v>-0.1365581682</c:v>
                </c:pt>
                <c:pt idx="89" formatCode="General">
                  <c:v>-9.3052036919999997E-2</c:v>
                </c:pt>
                <c:pt idx="90" formatCode="General">
                  <c:v>-6.1047220030000002E-2</c:v>
                </c:pt>
                <c:pt idx="91" formatCode="General">
                  <c:v>-3.8265248389999999E-2</c:v>
                </c:pt>
                <c:pt idx="92" formatCode="General">
                  <c:v>-2.268090583E-2</c:v>
                </c:pt>
                <c:pt idx="93" formatCode="General">
                  <c:v>-1.2531621979999999E-2</c:v>
                </c:pt>
                <c:pt idx="94" formatCode="General">
                  <c:v>-6.321623912E-3</c:v>
                </c:pt>
                <c:pt idx="95" formatCode="General">
                  <c:v>-2.820590874E-3</c:v>
                </c:pt>
                <c:pt idx="96" formatCode="General">
                  <c:v>-1.056436439E-3</c:v>
                </c:pt>
                <c:pt idx="97" formatCode="General">
                  <c:v>-3.0172518270000001E-4</c:v>
                </c:pt>
                <c:pt idx="98">
                  <c:v>-5.3100000000000003E-5</c:v>
                </c:pt>
                <c:pt idx="99">
                  <c:v>-2.7499999999999999E-6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9-4C96-840B-E0B17B9C5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08239"/>
        <c:axId val="118113039"/>
      </c:scatterChart>
      <c:valAx>
        <c:axId val="11810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113039"/>
        <c:crosses val="autoZero"/>
        <c:crossBetween val="midCat"/>
        <c:majorUnit val="0.2"/>
      </c:valAx>
      <c:valAx>
        <c:axId val="1181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10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Esforço Cortante x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9009040499070791E-2"/>
                  <c:y val="0.519281094032920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CRUZEIRO'!$C$56:$C$105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 formatCode="0.000000000">
                  <c:v>0.873</c:v>
                </c:pt>
                <c:pt idx="49" formatCode="0.000000000">
                  <c:v>0.875</c:v>
                </c:pt>
              </c:numCache>
            </c:numRef>
          </c:xVal>
          <c:yVal>
            <c:numRef>
              <c:f>'Distrib. ASA INCD. CRUZEIRO'!$I$56:$I$105</c:f>
              <c:numCache>
                <c:formatCode>General</c:formatCode>
                <c:ptCount val="50"/>
                <c:pt idx="0">
                  <c:v>-53.948442399999998</c:v>
                </c:pt>
                <c:pt idx="1">
                  <c:v>-51.811954010000001</c:v>
                </c:pt>
                <c:pt idx="2">
                  <c:v>-49.689829529999997</c:v>
                </c:pt>
                <c:pt idx="3">
                  <c:v>-47.596289259999999</c:v>
                </c:pt>
                <c:pt idx="4">
                  <c:v>-45.545269189999999</c:v>
                </c:pt>
                <c:pt idx="5">
                  <c:v>-43.550285989999999</c:v>
                </c:pt>
                <c:pt idx="6">
                  <c:v>-41.624310559999998</c:v>
                </c:pt>
                <c:pt idx="7">
                  <c:v>-39.779652779999999</c:v>
                </c:pt>
                <c:pt idx="8">
                  <c:v>-38.027860070000003</c:v>
                </c:pt>
                <c:pt idx="9">
                  <c:v>-36.379631930000002</c:v>
                </c:pt>
                <c:pt idx="10">
                  <c:v>-34.844752200000002</c:v>
                </c:pt>
                <c:pt idx="11">
                  <c:v>-33.43204034</c:v>
                </c:pt>
                <c:pt idx="12">
                  <c:v>-32.149321929999999</c:v>
                </c:pt>
                <c:pt idx="13">
                  <c:v>-31.003417819999999</c:v>
                </c:pt>
                <c:pt idx="14">
                  <c:v>-30.0001502</c:v>
                </c:pt>
                <c:pt idx="15">
                  <c:v>-29.143839310000001</c:v>
                </c:pt>
                <c:pt idx="16">
                  <c:v>-28.438340069999999</c:v>
                </c:pt>
                <c:pt idx="17">
                  <c:v>-27.887009500000001</c:v>
                </c:pt>
                <c:pt idx="18">
                  <c:v>-27.492229300000002</c:v>
                </c:pt>
                <c:pt idx="19">
                  <c:v>-27.255340489999998</c:v>
                </c:pt>
                <c:pt idx="20">
                  <c:v>-27.176540750000001</c:v>
                </c:pt>
                <c:pt idx="21">
                  <c:v>-25.179872459999999</c:v>
                </c:pt>
                <c:pt idx="22">
                  <c:v>-23.239272209999999</c:v>
                </c:pt>
                <c:pt idx="23">
                  <c:v>-21.359421860000001</c:v>
                </c:pt>
                <c:pt idx="24">
                  <c:v>-19.54545778</c:v>
                </c:pt>
                <c:pt idx="25">
                  <c:v>-17.80260204</c:v>
                </c:pt>
                <c:pt idx="26">
                  <c:v>-16.135387300000001</c:v>
                </c:pt>
                <c:pt idx="27">
                  <c:v>-14.547699679999999</c:v>
                </c:pt>
                <c:pt idx="28">
                  <c:v>-13.042791080000001</c:v>
                </c:pt>
                <c:pt idx="29">
                  <c:v>-11.623285210000001</c:v>
                </c:pt>
                <c:pt idx="30">
                  <c:v>-10.291184940000001</c:v>
                </c:pt>
                <c:pt idx="31">
                  <c:v>-9.0478829869999995</c:v>
                </c:pt>
                <c:pt idx="32">
                  <c:v>-7.8941766500000004</c:v>
                </c:pt>
                <c:pt idx="33">
                  <c:v>-6.8302858219999996</c:v>
                </c:pt>
                <c:pt idx="34">
                  <c:v>-5.8556790960000002</c:v>
                </c:pt>
                <c:pt idx="35">
                  <c:v>-4.966479069</c:v>
                </c:pt>
                <c:pt idx="36">
                  <c:v>-4.1611859280000001</c:v>
                </c:pt>
                <c:pt idx="37">
                  <c:v>-3.4379433659999998</c:v>
                </c:pt>
                <c:pt idx="38">
                  <c:v>-2.7945644129999998</c:v>
                </c:pt>
                <c:pt idx="39">
                  <c:v>-2.2285476809999998</c:v>
                </c:pt>
                <c:pt idx="40">
                  <c:v>-1.7370810839999999</c:v>
                </c:pt>
                <c:pt idx="41">
                  <c:v>-1.3170304660000001</c:v>
                </c:pt>
                <c:pt idx="42">
                  <c:v>-0.9649113695</c:v>
                </c:pt>
                <c:pt idx="43">
                  <c:v>-0.67684292560000003</c:v>
                </c:pt>
                <c:pt idx="44">
                  <c:v>-0.44848310790000001</c:v>
                </c:pt>
                <c:pt idx="45">
                  <c:v>-0.2749432316</c:v>
                </c:pt>
                <c:pt idx="46">
                  <c:v>-0.1506743995</c:v>
                </c:pt>
                <c:pt idx="47">
                  <c:v>-6.9302020850000007E-2</c:v>
                </c:pt>
                <c:pt idx="48">
                  <c:v>-2.334787592E-2</c:v>
                </c:pt>
                <c:pt idx="49">
                  <c:v>-3.816823338E-3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C0-4608-9B4D-150AD28C9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58799"/>
        <c:axId val="1950944879"/>
      </c:scatterChart>
      <c:valAx>
        <c:axId val="195095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44879"/>
        <c:crosses val="autoZero"/>
        <c:crossBetween val="midCat"/>
      </c:valAx>
      <c:valAx>
        <c:axId val="19509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58799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267417872065332E-2"/>
                  <c:y val="0.503586725939254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CRUZEIRO'!$C$56:$C$105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 formatCode="0.000000000">
                  <c:v>0.873</c:v>
                </c:pt>
                <c:pt idx="49" formatCode="0.000000000">
                  <c:v>0.875</c:v>
                </c:pt>
              </c:numCache>
            </c:numRef>
          </c:xVal>
          <c:yVal>
            <c:numRef>
              <c:f>'Distrib. ASA INCD. CRUZEIRO'!$J$56:$J$105</c:f>
              <c:numCache>
                <c:formatCode>General</c:formatCode>
                <c:ptCount val="50"/>
                <c:pt idx="0">
                  <c:v>-20.71577491</c:v>
                </c:pt>
                <c:pt idx="1">
                  <c:v>-19.23431381</c:v>
                </c:pt>
                <c:pt idx="2">
                  <c:v>-17.82029412</c:v>
                </c:pt>
                <c:pt idx="3">
                  <c:v>-16.480963670000001</c:v>
                </c:pt>
                <c:pt idx="4">
                  <c:v>-15.222038449999999</c:v>
                </c:pt>
                <c:pt idx="5">
                  <c:v>-14.047733239999999</c:v>
                </c:pt>
                <c:pt idx="6">
                  <c:v>-12.960828129999999</c:v>
                </c:pt>
                <c:pt idx="7">
                  <c:v>-11.962767789999999</c:v>
                </c:pt>
                <c:pt idx="8">
                  <c:v>-11.05378917</c:v>
                </c:pt>
                <c:pt idx="9">
                  <c:v>-10.23307271</c:v>
                </c:pt>
                <c:pt idx="10">
                  <c:v>-9.4989114889999993</c:v>
                </c:pt>
                <c:pt idx="11">
                  <c:v>-8.8488925829999996</c:v>
                </c:pt>
                <c:pt idx="12">
                  <c:v>-8.2800845269999996</c:v>
                </c:pt>
                <c:pt idx="13">
                  <c:v>-7.78922516</c:v>
                </c:pt>
                <c:pt idx="14">
                  <c:v>-7.3729042600000003</c:v>
                </c:pt>
                <c:pt idx="15">
                  <c:v>-7.0277359449999999</c:v>
                </c:pt>
                <c:pt idx="16">
                  <c:v>-6.7505213680000002</c:v>
                </c:pt>
                <c:pt idx="17">
                  <c:v>-6.5383801259999998</c:v>
                </c:pt>
                <c:pt idx="18">
                  <c:v>-6.3888654010000003</c:v>
                </c:pt>
                <c:pt idx="19">
                  <c:v>-6.3000614419999996</c:v>
                </c:pt>
                <c:pt idx="20">
                  <c:v>-6.2706547510000004</c:v>
                </c:pt>
                <c:pt idx="21">
                  <c:v>-5.5239418709999999</c:v>
                </c:pt>
                <c:pt idx="22">
                  <c:v>-4.8339865189999998</c:v>
                </c:pt>
                <c:pt idx="23">
                  <c:v>-4.2007012240000003</c:v>
                </c:pt>
                <c:pt idx="24">
                  <c:v>-3.623451239</c:v>
                </c:pt>
                <c:pt idx="25">
                  <c:v>-3.1010722780000002</c:v>
                </c:pt>
                <c:pt idx="26">
                  <c:v>-2.6319038680000002</c:v>
                </c:pt>
                <c:pt idx="27">
                  <c:v>-2.2138480610000002</c:v>
                </c:pt>
                <c:pt idx="28">
                  <c:v>-1.8444301169999999</c:v>
                </c:pt>
                <c:pt idx="29">
                  <c:v>-1.5208609719999999</c:v>
                </c:pt>
                <c:pt idx="30">
                  <c:v>-1.2401006619999999</c:v>
                </c:pt>
                <c:pt idx="31">
                  <c:v>-0.99892166540000005</c:v>
                </c:pt>
                <c:pt idx="32">
                  <c:v>-0.79397115460000001</c:v>
                </c:pt>
                <c:pt idx="33">
                  <c:v>-0.62183115030000002</c:v>
                </c:pt>
                <c:pt idx="34">
                  <c:v>-0.47907569690000001</c:v>
                </c:pt>
                <c:pt idx="35">
                  <c:v>-0.3623281431</c:v>
                </c:pt>
                <c:pt idx="36">
                  <c:v>-0.2683624919</c:v>
                </c:pt>
                <c:pt idx="37">
                  <c:v>-0.19408284140000001</c:v>
                </c:pt>
                <c:pt idx="38">
                  <c:v>-0.1365581682</c:v>
                </c:pt>
                <c:pt idx="39">
                  <c:v>-9.3052036919999997E-2</c:v>
                </c:pt>
                <c:pt idx="40">
                  <c:v>-6.1047220030000002E-2</c:v>
                </c:pt>
                <c:pt idx="41">
                  <c:v>-3.8265248389999999E-2</c:v>
                </c:pt>
                <c:pt idx="42">
                  <c:v>-2.268090583E-2</c:v>
                </c:pt>
                <c:pt idx="43">
                  <c:v>-1.2531621979999999E-2</c:v>
                </c:pt>
                <c:pt idx="44">
                  <c:v>-6.321623912E-3</c:v>
                </c:pt>
                <c:pt idx="45">
                  <c:v>-2.820590874E-3</c:v>
                </c:pt>
                <c:pt idx="46">
                  <c:v>-1.056436439E-3</c:v>
                </c:pt>
                <c:pt idx="47">
                  <c:v>-3.0172518270000001E-4</c:v>
                </c:pt>
                <c:pt idx="48" formatCode="0.000000000">
                  <c:v>-5.3100000000000003E-5</c:v>
                </c:pt>
                <c:pt idx="49" formatCode="0.000000000">
                  <c:v>-2.7499999999999999E-6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FB-4C85-BC52-132EEB54E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43919"/>
        <c:axId val="1950954479"/>
      </c:scatterChart>
      <c:valAx>
        <c:axId val="195094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54479"/>
        <c:crosses val="autoZero"/>
        <c:crossBetween val="midCat"/>
      </c:valAx>
      <c:valAx>
        <c:axId val="19509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Fletor</a:t>
                </a:r>
                <a:r>
                  <a:rPr lang="pt-BR" baseline="0"/>
                  <a:t> N.m]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4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Sustentação da Asa</a:t>
            </a:r>
            <a:r>
              <a:rPr lang="pt-BR" baseline="0"/>
              <a:t> SEM endplat vs Envergadura Total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CRUZEIRO'!$C$6:$C$105</c:f>
              <c:numCache>
                <c:formatCode>0.000000000</c:formatCode>
                <c:ptCount val="100"/>
                <c:pt idx="0">
                  <c:v>-0.875</c:v>
                </c:pt>
                <c:pt idx="1">
                  <c:v>-0.873</c:v>
                </c:pt>
                <c:pt idx="2" formatCode="General">
                  <c:v>-0.87052498489999997</c:v>
                </c:pt>
                <c:pt idx="3" formatCode="General">
                  <c:v>-0.86640603100000002</c:v>
                </c:pt>
                <c:pt idx="4" formatCode="General">
                  <c:v>-0.86093167059999998</c:v>
                </c:pt>
                <c:pt idx="5" formatCode="General">
                  <c:v>-0.85411690829999998</c:v>
                </c:pt>
                <c:pt idx="6" formatCode="General">
                  <c:v>-0.84598042299999998</c:v>
                </c:pt>
                <c:pt idx="7" formatCode="General">
                  <c:v>-0.83654451620000003</c:v>
                </c:pt>
                <c:pt idx="8" formatCode="General">
                  <c:v>-0.82583505099999999</c:v>
                </c:pt>
                <c:pt idx="9" formatCode="General">
                  <c:v>-0.8138813815</c:v>
                </c:pt>
                <c:pt idx="10" formatCode="General">
                  <c:v>-0.80071627170000004</c:v>
                </c:pt>
                <c:pt idx="11" formatCode="General">
                  <c:v>-0.78637580630000004</c:v>
                </c:pt>
                <c:pt idx="12" formatCode="General">
                  <c:v>-0.77089929150000003</c:v>
                </c:pt>
                <c:pt idx="13" formatCode="General">
                  <c:v>-0.75432914750000002</c:v>
                </c:pt>
                <c:pt idx="14" formatCode="General">
                  <c:v>-0.73671079169999998</c:v>
                </c:pt>
                <c:pt idx="15" formatCode="General">
                  <c:v>-0.71809251480000003</c:v>
                </c:pt>
                <c:pt idx="16" formatCode="General">
                  <c:v>-0.69852534840000002</c:v>
                </c:pt>
                <c:pt idx="17" formatCode="General">
                  <c:v>-0.67806292459999995</c:v>
                </c:pt>
                <c:pt idx="18" formatCode="General">
                  <c:v>-0.65676132949999999</c:v>
                </c:pt>
                <c:pt idx="19" formatCode="General">
                  <c:v>-0.63467894930000002</c:v>
                </c:pt>
                <c:pt idx="20" formatCode="General">
                  <c:v>-0.6118763102</c:v>
                </c:pt>
                <c:pt idx="21" formatCode="General">
                  <c:v>-0.58841591280000005</c:v>
                </c:pt>
                <c:pt idx="22" formatCode="General">
                  <c:v>-0.56436206030000002</c:v>
                </c:pt>
                <c:pt idx="23" formatCode="General">
                  <c:v>-0.53978068260000001</c:v>
                </c:pt>
                <c:pt idx="24" formatCode="General">
                  <c:v>-0.51473915569999995</c:v>
                </c:pt>
                <c:pt idx="25" formatCode="General">
                  <c:v>-0.48930611660000001</c:v>
                </c:pt>
                <c:pt idx="26" formatCode="General">
                  <c:v>-0.46355127550000003</c:v>
                </c:pt>
                <c:pt idx="27" formatCode="General">
                  <c:v>-0.4375452246</c:v>
                </c:pt>
                <c:pt idx="28" formatCode="General">
                  <c:v>-0.41135924470000002</c:v>
                </c:pt>
                <c:pt idx="29" formatCode="General">
                  <c:v>-0.38506510980000003</c:v>
                </c:pt>
                <c:pt idx="30" formatCode="General">
                  <c:v>-0.37132677819999999</c:v>
                </c:pt>
                <c:pt idx="31" formatCode="General">
                  <c:v>-0.36903742509999998</c:v>
                </c:pt>
                <c:pt idx="32" formatCode="General">
                  <c:v>-0.36447283359999999</c:v>
                </c:pt>
                <c:pt idx="33" formatCode="General">
                  <c:v>-0.35766114589999998</c:v>
                </c:pt>
                <c:pt idx="34" formatCode="General">
                  <c:v>-0.34864435830000001</c:v>
                </c:pt>
                <c:pt idx="35" formatCode="General">
                  <c:v>-0.33747806219999998</c:v>
                </c:pt>
                <c:pt idx="36" formatCode="General">
                  <c:v>-0.32423110170000002</c:v>
                </c:pt>
                <c:pt idx="37" formatCode="General">
                  <c:v>-0.30898514869999999</c:v>
                </c:pt>
                <c:pt idx="38" formatCode="General">
                  <c:v>-0.29183419939999999</c:v>
                </c:pt>
                <c:pt idx="39" formatCode="General">
                  <c:v>-0.27288399530000002</c:v>
                </c:pt>
                <c:pt idx="40" formatCode="General">
                  <c:v>-0.25225137050000002</c:v>
                </c:pt>
                <c:pt idx="41" formatCode="General">
                  <c:v>-0.23006353230000001</c:v>
                </c:pt>
                <c:pt idx="42" formatCode="General">
                  <c:v>-0.20645727580000001</c:v>
                </c:pt>
                <c:pt idx="43" formatCode="General">
                  <c:v>-0.18157814150000001</c:v>
                </c:pt>
                <c:pt idx="44" formatCode="General">
                  <c:v>-0.1555795177</c:v>
                </c:pt>
                <c:pt idx="45" formatCode="General">
                  <c:v>-0.12862169439999999</c:v>
                </c:pt>
                <c:pt idx="46" formatCode="General">
                  <c:v>-0.1008708755</c:v>
                </c:pt>
                <c:pt idx="47" formatCode="General">
                  <c:v>-7.2498154179999996E-2</c:v>
                </c:pt>
                <c:pt idx="48" formatCode="General">
                  <c:v>-4.367845762E-2</c:v>
                </c:pt>
                <c:pt idx="49" formatCode="General">
                  <c:v>-1.458946885E-2</c:v>
                </c:pt>
                <c:pt idx="50" formatCode="General">
                  <c:v>1.458946885E-2</c:v>
                </c:pt>
                <c:pt idx="51" formatCode="General">
                  <c:v>4.367845762E-2</c:v>
                </c:pt>
                <c:pt idx="52" formatCode="General">
                  <c:v>7.2498154179999996E-2</c:v>
                </c:pt>
                <c:pt idx="53" formatCode="General">
                  <c:v>0.1008708755</c:v>
                </c:pt>
                <c:pt idx="54" formatCode="General">
                  <c:v>0.12862169439999999</c:v>
                </c:pt>
                <c:pt idx="55" formatCode="General">
                  <c:v>0.1555795177</c:v>
                </c:pt>
                <c:pt idx="56" formatCode="General">
                  <c:v>0.18157814150000001</c:v>
                </c:pt>
                <c:pt idx="57" formatCode="General">
                  <c:v>0.20645727580000001</c:v>
                </c:pt>
                <c:pt idx="58" formatCode="General">
                  <c:v>0.23006353230000001</c:v>
                </c:pt>
                <c:pt idx="59" formatCode="General">
                  <c:v>0.25225137050000002</c:v>
                </c:pt>
                <c:pt idx="60" formatCode="General">
                  <c:v>0.27288399530000002</c:v>
                </c:pt>
                <c:pt idx="61" formatCode="General">
                  <c:v>0.29183419939999999</c:v>
                </c:pt>
                <c:pt idx="62" formatCode="General">
                  <c:v>0.30898514869999999</c:v>
                </c:pt>
                <c:pt idx="63" formatCode="General">
                  <c:v>0.32423110170000002</c:v>
                </c:pt>
                <c:pt idx="64" formatCode="General">
                  <c:v>0.33747806219999998</c:v>
                </c:pt>
                <c:pt idx="65" formatCode="General">
                  <c:v>0.34864435830000001</c:v>
                </c:pt>
                <c:pt idx="66" formatCode="General">
                  <c:v>0.35766114589999998</c:v>
                </c:pt>
                <c:pt idx="67" formatCode="General">
                  <c:v>0.36447283359999999</c:v>
                </c:pt>
                <c:pt idx="68" formatCode="General">
                  <c:v>0.36903742509999998</c:v>
                </c:pt>
                <c:pt idx="69" formatCode="General">
                  <c:v>0.37132677819999999</c:v>
                </c:pt>
                <c:pt idx="70" formatCode="General">
                  <c:v>0.38506510980000003</c:v>
                </c:pt>
                <c:pt idx="71" formatCode="General">
                  <c:v>0.41135924470000002</c:v>
                </c:pt>
                <c:pt idx="72" formatCode="General">
                  <c:v>0.4375452246</c:v>
                </c:pt>
                <c:pt idx="73" formatCode="General">
                  <c:v>0.46355127550000003</c:v>
                </c:pt>
                <c:pt idx="74" formatCode="General">
                  <c:v>0.48930611660000001</c:v>
                </c:pt>
                <c:pt idx="75" formatCode="General">
                  <c:v>0.51473915569999995</c:v>
                </c:pt>
                <c:pt idx="76" formatCode="General">
                  <c:v>0.53978068260000001</c:v>
                </c:pt>
                <c:pt idx="77" formatCode="General">
                  <c:v>0.56436206030000002</c:v>
                </c:pt>
                <c:pt idx="78" formatCode="General">
                  <c:v>0.58841591280000005</c:v>
                </c:pt>
                <c:pt idx="79" formatCode="General">
                  <c:v>0.6118763102</c:v>
                </c:pt>
                <c:pt idx="80" formatCode="General">
                  <c:v>0.63467894930000002</c:v>
                </c:pt>
                <c:pt idx="81" formatCode="General">
                  <c:v>0.65676132949999999</c:v>
                </c:pt>
                <c:pt idx="82" formatCode="General">
                  <c:v>0.67806292459999995</c:v>
                </c:pt>
                <c:pt idx="83" formatCode="General">
                  <c:v>0.69852534840000002</c:v>
                </c:pt>
                <c:pt idx="84" formatCode="General">
                  <c:v>0.71809251480000003</c:v>
                </c:pt>
                <c:pt idx="85" formatCode="General">
                  <c:v>0.73671079169999998</c:v>
                </c:pt>
                <c:pt idx="86" formatCode="General">
                  <c:v>0.75432914750000002</c:v>
                </c:pt>
                <c:pt idx="87" formatCode="General">
                  <c:v>0.77089929150000003</c:v>
                </c:pt>
                <c:pt idx="88" formatCode="General">
                  <c:v>0.78637580630000004</c:v>
                </c:pt>
                <c:pt idx="89" formatCode="General">
                  <c:v>0.80071627170000004</c:v>
                </c:pt>
                <c:pt idx="90" formatCode="General">
                  <c:v>0.8138813815</c:v>
                </c:pt>
                <c:pt idx="91" formatCode="General">
                  <c:v>0.82583505099999999</c:v>
                </c:pt>
                <c:pt idx="92" formatCode="General">
                  <c:v>0.83654451620000003</c:v>
                </c:pt>
                <c:pt idx="93" formatCode="General">
                  <c:v>0.84598042299999998</c:v>
                </c:pt>
                <c:pt idx="94" formatCode="General">
                  <c:v>0.85411690829999998</c:v>
                </c:pt>
                <c:pt idx="95" formatCode="General">
                  <c:v>0.86093167059999998</c:v>
                </c:pt>
                <c:pt idx="96" formatCode="General">
                  <c:v>0.86640603100000002</c:v>
                </c:pt>
                <c:pt idx="97" formatCode="General">
                  <c:v>0.87052498489999997</c:v>
                </c:pt>
                <c:pt idx="98">
                  <c:v>0.873</c:v>
                </c:pt>
                <c:pt idx="99">
                  <c:v>0.875</c:v>
                </c:pt>
              </c:numCache>
            </c:numRef>
          </c:xVal>
          <c:yVal>
            <c:numRef>
              <c:f>'Distrib. ASA INCD. CRUZEIRO'!$G$6:$G$105</c:f>
              <c:numCache>
                <c:formatCode>_(* #,##0.00_);_(* \(#,##0.00\);_(* "-"??_);_(@_)</c:formatCode>
                <c:ptCount val="100"/>
                <c:pt idx="0">
                  <c:v>23.624036484653264</c:v>
                </c:pt>
                <c:pt idx="1">
                  <c:v>40.590533618844368</c:v>
                </c:pt>
                <c:pt idx="2">
                  <c:v>57.99556612463801</c:v>
                </c:pt>
                <c:pt idx="3">
                  <c:v>74.412895829072696</c:v>
                </c:pt>
                <c:pt idx="4">
                  <c:v>89.537521811135591</c:v>
                </c:pt>
                <c:pt idx="5">
                  <c:v>103.2875621517607</c:v>
                </c:pt>
                <c:pt idx="6">
                  <c:v>115.65909206046548</c:v>
                </c:pt>
                <c:pt idx="7">
                  <c:v>126.68529811432859</c:v>
                </c:pt>
                <c:pt idx="8">
                  <c:v>136.42401187972845</c:v>
                </c:pt>
                <c:pt idx="9">
                  <c:v>144.95033776930481</c:v>
                </c:pt>
                <c:pt idx="10">
                  <c:v>152.35058738535628</c:v>
                </c:pt>
                <c:pt idx="11">
                  <c:v>158.71712778927824</c:v>
                </c:pt>
                <c:pt idx="12">
                  <c:v>164.14417343250227</c:v>
                </c:pt>
                <c:pt idx="13">
                  <c:v>168.72453367508174</c:v>
                </c:pt>
                <c:pt idx="14">
                  <c:v>172.54725235361587</c:v>
                </c:pt>
                <c:pt idx="15">
                  <c:v>175.6960255699446</c:v>
                </c:pt>
                <c:pt idx="16">
                  <c:v>178.24825863975323</c:v>
                </c:pt>
                <c:pt idx="17">
                  <c:v>180.2746214406441</c:v>
                </c:pt>
                <c:pt idx="18">
                  <c:v>181.83897403716509</c:v>
                </c:pt>
                <c:pt idx="19">
                  <c:v>182.99855319929242</c:v>
                </c:pt>
                <c:pt idx="20">
                  <c:v>183.80433018671721</c:v>
                </c:pt>
                <c:pt idx="21">
                  <c:v>184.30146527869954</c:v>
                </c:pt>
                <c:pt idx="22">
                  <c:v>184.52979673140021</c:v>
                </c:pt>
                <c:pt idx="23">
                  <c:v>184.52430242565225</c:v>
                </c:pt>
                <c:pt idx="24">
                  <c:v>184.31544849963933</c:v>
                </c:pt>
                <c:pt idx="25">
                  <c:v>183.92925878490422</c:v>
                </c:pt>
                <c:pt idx="26">
                  <c:v>183.38667608222926</c:v>
                </c:pt>
                <c:pt idx="27">
                  <c:v>182.70075828332034</c:v>
                </c:pt>
                <c:pt idx="28">
                  <c:v>181.86507994265091</c:v>
                </c:pt>
                <c:pt idx="29">
                  <c:v>180.78414490432615</c:v>
                </c:pt>
                <c:pt idx="30">
                  <c:v>179.99527326074062</c:v>
                </c:pt>
                <c:pt idx="31">
                  <c:v>180.01464024181661</c:v>
                </c:pt>
                <c:pt idx="32">
                  <c:v>180.69582070368054</c:v>
                </c:pt>
                <c:pt idx="33">
                  <c:v>181.44677926980816</c:v>
                </c:pt>
                <c:pt idx="34">
                  <c:v>182.22105758526669</c:v>
                </c:pt>
                <c:pt idx="35">
                  <c:v>183.01900370168016</c:v>
                </c:pt>
                <c:pt idx="36">
                  <c:v>183.8390946752983</c:v>
                </c:pt>
                <c:pt idx="37">
                  <c:v>184.67449948457883</c:v>
                </c:pt>
                <c:pt idx="38">
                  <c:v>185.51460284551885</c:v>
                </c:pt>
                <c:pt idx="39">
                  <c:v>186.3465923619236</c:v>
                </c:pt>
                <c:pt idx="40">
                  <c:v>187.15666537552795</c:v>
                </c:pt>
                <c:pt idx="41">
                  <c:v>187.93089139608477</c:v>
                </c:pt>
                <c:pt idx="42">
                  <c:v>188.65582496856067</c:v>
                </c:pt>
                <c:pt idx="43">
                  <c:v>189.31893943029354</c:v>
                </c:pt>
                <c:pt idx="44">
                  <c:v>189.90892934984092</c:v>
                </c:pt>
                <c:pt idx="45">
                  <c:v>190.41591447709698</c:v>
                </c:pt>
                <c:pt idx="46">
                  <c:v>190.83156684895644</c:v>
                </c:pt>
                <c:pt idx="47">
                  <c:v>191.14918501902235</c:v>
                </c:pt>
                <c:pt idx="48">
                  <c:v>191.36373109982821</c:v>
                </c:pt>
                <c:pt idx="49">
                  <c:v>191.47184427235433</c:v>
                </c:pt>
                <c:pt idx="50">
                  <c:v>191.47184427235433</c:v>
                </c:pt>
                <c:pt idx="51">
                  <c:v>191.36373109982821</c:v>
                </c:pt>
                <c:pt idx="52">
                  <c:v>191.14918501902235</c:v>
                </c:pt>
                <c:pt idx="53">
                  <c:v>190.83156684895644</c:v>
                </c:pt>
                <c:pt idx="54">
                  <c:v>190.41591447709698</c:v>
                </c:pt>
                <c:pt idx="55">
                  <c:v>189.90892934984092</c:v>
                </c:pt>
                <c:pt idx="56">
                  <c:v>189.31893943029354</c:v>
                </c:pt>
                <c:pt idx="57">
                  <c:v>188.65582496856067</c:v>
                </c:pt>
                <c:pt idx="58">
                  <c:v>187.93089139608477</c:v>
                </c:pt>
                <c:pt idx="59">
                  <c:v>187.15666537552795</c:v>
                </c:pt>
                <c:pt idx="60">
                  <c:v>186.3465923619236</c:v>
                </c:pt>
                <c:pt idx="61">
                  <c:v>185.51460284551885</c:v>
                </c:pt>
                <c:pt idx="62">
                  <c:v>184.67449948457883</c:v>
                </c:pt>
                <c:pt idx="63">
                  <c:v>183.8390946752983</c:v>
                </c:pt>
                <c:pt idx="64">
                  <c:v>183.01900370168016</c:v>
                </c:pt>
                <c:pt idx="65">
                  <c:v>182.22105758526669</c:v>
                </c:pt>
                <c:pt idx="66">
                  <c:v>181.44677926980816</c:v>
                </c:pt>
                <c:pt idx="67">
                  <c:v>180.69582070368054</c:v>
                </c:pt>
                <c:pt idx="68">
                  <c:v>180.01464024181661</c:v>
                </c:pt>
                <c:pt idx="69">
                  <c:v>179.99527326074062</c:v>
                </c:pt>
                <c:pt idx="70">
                  <c:v>180.78414490432615</c:v>
                </c:pt>
                <c:pt idx="71">
                  <c:v>181.86507994265091</c:v>
                </c:pt>
                <c:pt idx="72">
                  <c:v>182.70075828332034</c:v>
                </c:pt>
                <c:pt idx="73">
                  <c:v>183.38667608222926</c:v>
                </c:pt>
                <c:pt idx="74">
                  <c:v>183.92925878490422</c:v>
                </c:pt>
                <c:pt idx="75">
                  <c:v>184.31544849963933</c:v>
                </c:pt>
                <c:pt idx="76">
                  <c:v>184.52430242565225</c:v>
                </c:pt>
                <c:pt idx="77">
                  <c:v>184.52979673140021</c:v>
                </c:pt>
                <c:pt idx="78">
                  <c:v>184.30146527869954</c:v>
                </c:pt>
                <c:pt idx="79">
                  <c:v>183.80433018671721</c:v>
                </c:pt>
                <c:pt idx="80">
                  <c:v>182.99855319929242</c:v>
                </c:pt>
                <c:pt idx="81">
                  <c:v>181.83897403716509</c:v>
                </c:pt>
                <c:pt idx="82">
                  <c:v>180.2746214406441</c:v>
                </c:pt>
                <c:pt idx="83">
                  <c:v>178.24825863975323</c:v>
                </c:pt>
                <c:pt idx="84">
                  <c:v>175.6960255699446</c:v>
                </c:pt>
                <c:pt idx="85">
                  <c:v>172.54725235361587</c:v>
                </c:pt>
                <c:pt idx="86">
                  <c:v>168.72453367508174</c:v>
                </c:pt>
                <c:pt idx="87">
                  <c:v>164.14417343250227</c:v>
                </c:pt>
                <c:pt idx="88">
                  <c:v>158.71712778927824</c:v>
                </c:pt>
                <c:pt idx="89">
                  <c:v>152.35058738535628</c:v>
                </c:pt>
                <c:pt idx="90">
                  <c:v>144.95033776930481</c:v>
                </c:pt>
                <c:pt idx="91">
                  <c:v>136.42401187972845</c:v>
                </c:pt>
                <c:pt idx="92">
                  <c:v>126.68529811432859</c:v>
                </c:pt>
                <c:pt idx="93">
                  <c:v>115.65909206046548</c:v>
                </c:pt>
                <c:pt idx="94">
                  <c:v>103.2875621517607</c:v>
                </c:pt>
                <c:pt idx="95">
                  <c:v>89.537521811135591</c:v>
                </c:pt>
                <c:pt idx="96">
                  <c:v>74.412895829072696</c:v>
                </c:pt>
                <c:pt idx="97">
                  <c:v>57.99556612463801</c:v>
                </c:pt>
                <c:pt idx="98">
                  <c:v>40.590533618844368</c:v>
                </c:pt>
                <c:pt idx="99">
                  <c:v>23.624036484653264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EF-4AF8-9488-47C7300BA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46592"/>
        <c:axId val="2003838432"/>
      </c:scatterChart>
      <c:valAx>
        <c:axId val="2003846592"/>
        <c:scaling>
          <c:orientation val="minMax"/>
          <c:max val="1.2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38432"/>
        <c:crosses val="autoZero"/>
        <c:crossBetween val="midCat"/>
        <c:majorUnit val="0.2"/>
      </c:valAx>
      <c:valAx>
        <c:axId val="20038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</a:t>
            </a:r>
            <a:r>
              <a:rPr lang="pt-BR" baseline="0"/>
              <a:t> Asa SEM  endplat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0652205191839945E-2"/>
                  <c:y val="0.189365163904954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CRUZEIRO'!$C$56:$C$105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 formatCode="0.000000000">
                  <c:v>0.873</c:v>
                </c:pt>
                <c:pt idx="49" formatCode="0.000000000">
                  <c:v>0.875</c:v>
                </c:pt>
              </c:numCache>
            </c:numRef>
          </c:xVal>
          <c:yVal>
            <c:numRef>
              <c:f>'Distrib. ASA INCD. CRUZEIRO'!$G$56:$G$105</c:f>
              <c:numCache>
                <c:formatCode>_(* #,##0.00_);_(* \(#,##0.00\);_(* "-"??_);_(@_)</c:formatCode>
                <c:ptCount val="50"/>
                <c:pt idx="0">
                  <c:v>191.47184427235433</c:v>
                </c:pt>
                <c:pt idx="1">
                  <c:v>191.36373109982821</c:v>
                </c:pt>
                <c:pt idx="2">
                  <c:v>191.14918501902235</c:v>
                </c:pt>
                <c:pt idx="3">
                  <c:v>190.83156684895644</c:v>
                </c:pt>
                <c:pt idx="4">
                  <c:v>190.41591447709698</c:v>
                </c:pt>
                <c:pt idx="5">
                  <c:v>189.90892934984092</c:v>
                </c:pt>
                <c:pt idx="6">
                  <c:v>189.31893943029354</c:v>
                </c:pt>
                <c:pt idx="7">
                  <c:v>188.65582496856067</c:v>
                </c:pt>
                <c:pt idx="8">
                  <c:v>187.93089139608477</c:v>
                </c:pt>
                <c:pt idx="9">
                  <c:v>187.15666537552795</c:v>
                </c:pt>
                <c:pt idx="10">
                  <c:v>186.3465923619236</c:v>
                </c:pt>
                <c:pt idx="11">
                  <c:v>185.51460284551885</c:v>
                </c:pt>
                <c:pt idx="12">
                  <c:v>184.67449948457883</c:v>
                </c:pt>
                <c:pt idx="13">
                  <c:v>183.8390946752983</c:v>
                </c:pt>
                <c:pt idx="14">
                  <c:v>183.01900370168016</c:v>
                </c:pt>
                <c:pt idx="15">
                  <c:v>182.22105758526669</c:v>
                </c:pt>
                <c:pt idx="16">
                  <c:v>181.44677926980816</c:v>
                </c:pt>
                <c:pt idx="17">
                  <c:v>180.69582070368054</c:v>
                </c:pt>
                <c:pt idx="18">
                  <c:v>180.01464024181661</c:v>
                </c:pt>
                <c:pt idx="19">
                  <c:v>179.99527326074062</c:v>
                </c:pt>
                <c:pt idx="20">
                  <c:v>180.78414490432615</c:v>
                </c:pt>
                <c:pt idx="21">
                  <c:v>181.86507994265091</c:v>
                </c:pt>
                <c:pt idx="22">
                  <c:v>182.70075828332034</c:v>
                </c:pt>
                <c:pt idx="23">
                  <c:v>183.38667608222926</c:v>
                </c:pt>
                <c:pt idx="24">
                  <c:v>183.92925878490422</c:v>
                </c:pt>
                <c:pt idx="25">
                  <c:v>184.31544849963933</c:v>
                </c:pt>
                <c:pt idx="26">
                  <c:v>184.52430242565225</c:v>
                </c:pt>
                <c:pt idx="27">
                  <c:v>184.52979673140021</c:v>
                </c:pt>
                <c:pt idx="28">
                  <c:v>184.30146527869954</c:v>
                </c:pt>
                <c:pt idx="29">
                  <c:v>183.80433018671721</c:v>
                </c:pt>
                <c:pt idx="30">
                  <c:v>182.99855319929242</c:v>
                </c:pt>
                <c:pt idx="31">
                  <c:v>181.83897403716509</c:v>
                </c:pt>
                <c:pt idx="32">
                  <c:v>180.2746214406441</c:v>
                </c:pt>
                <c:pt idx="33">
                  <c:v>178.24825863975323</c:v>
                </c:pt>
                <c:pt idx="34">
                  <c:v>175.6960255699446</c:v>
                </c:pt>
                <c:pt idx="35">
                  <c:v>172.54725235361587</c:v>
                </c:pt>
                <c:pt idx="36">
                  <c:v>168.72453367508174</c:v>
                </c:pt>
                <c:pt idx="37">
                  <c:v>164.14417343250227</c:v>
                </c:pt>
                <c:pt idx="38">
                  <c:v>158.71712778927824</c:v>
                </c:pt>
                <c:pt idx="39">
                  <c:v>152.35058738535628</c:v>
                </c:pt>
                <c:pt idx="40">
                  <c:v>144.95033776930481</c:v>
                </c:pt>
                <c:pt idx="41">
                  <c:v>136.42401187972845</c:v>
                </c:pt>
                <c:pt idx="42">
                  <c:v>126.68529811432859</c:v>
                </c:pt>
                <c:pt idx="43">
                  <c:v>115.65909206046548</c:v>
                </c:pt>
                <c:pt idx="44">
                  <c:v>103.2875621517607</c:v>
                </c:pt>
                <c:pt idx="45">
                  <c:v>89.537521811135591</c:v>
                </c:pt>
                <c:pt idx="46">
                  <c:v>74.412895829072696</c:v>
                </c:pt>
                <c:pt idx="47">
                  <c:v>57.99556612463801</c:v>
                </c:pt>
                <c:pt idx="48">
                  <c:v>40.590533618844368</c:v>
                </c:pt>
                <c:pt idx="49">
                  <c:v>23.624036484653264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3-4C81-815D-6E688030E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42752"/>
        <c:axId val="2003842272"/>
      </c:scatterChart>
      <c:valAx>
        <c:axId val="20038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2272"/>
        <c:crosses val="autoZero"/>
        <c:crossBetween val="midCat"/>
      </c:valAx>
      <c:valAx>
        <c:axId val="20038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[N/m]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Esforço Cortante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'Distrib. ASA INCD. CRUZEIRO'!$AO$6:$AO$105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CRUZEIRO'!$AU$6:$AU$105</c:f>
              <c:numCache>
                <c:formatCode>General</c:formatCode>
                <c:ptCount val="100"/>
                <c:pt idx="0">
                  <c:v>3.3987614059999998E-3</c:v>
                </c:pt>
                <c:pt idx="1">
                  <c:v>2.076022039E-2</c:v>
                </c:pt>
                <c:pt idx="2">
                  <c:v>6.1387693889999997E-2</c:v>
                </c:pt>
                <c:pt idx="3">
                  <c:v>0.13289977489999999</c:v>
                </c:pt>
                <c:pt idx="4">
                  <c:v>0.24153755269999999</c:v>
                </c:pt>
                <c:pt idx="5">
                  <c:v>0.3925548244</c:v>
                </c:pt>
                <c:pt idx="6">
                  <c:v>0.59045479460000005</c:v>
                </c:pt>
                <c:pt idx="7">
                  <c:v>0.8391429359</c:v>
                </c:pt>
                <c:pt idx="8">
                  <c:v>1.142042472</c:v>
                </c:pt>
                <c:pt idx="9">
                  <c:v>1.502185946</c:v>
                </c:pt>
                <c:pt idx="10">
                  <c:v>1.92228577</c:v>
                </c:pt>
                <c:pt idx="11">
                  <c:v>2.4047839280000001</c:v>
                </c:pt>
                <c:pt idx="12">
                  <c:v>2.954875457</c:v>
                </c:pt>
                <c:pt idx="13">
                  <c:v>3.5760301499999998</c:v>
                </c:pt>
                <c:pt idx="14">
                  <c:v>4.2701240680000003</c:v>
                </c:pt>
                <c:pt idx="15">
                  <c:v>5.0386442149999997</c:v>
                </c:pt>
                <c:pt idx="16">
                  <c:v>5.8826746019999998</c:v>
                </c:pt>
                <c:pt idx="17">
                  <c:v>6.802877928</c:v>
                </c:pt>
                <c:pt idx="18">
                  <c:v>7.7994746839999998</c:v>
                </c:pt>
                <c:pt idx="19">
                  <c:v>8.8722212779999996</c:v>
                </c:pt>
                <c:pt idx="20">
                  <c:v>10.02038868</c:v>
                </c:pt>
                <c:pt idx="21">
                  <c:v>11.242742809999999</c:v>
                </c:pt>
                <c:pt idx="22">
                  <c:v>12.53752768</c:v>
                </c:pt>
                <c:pt idx="23">
                  <c:v>13.90245176</c:v>
                </c:pt>
                <c:pt idx="24">
                  <c:v>15.33467739</c:v>
                </c:pt>
                <c:pt idx="25">
                  <c:v>16.83081129</c:v>
                </c:pt>
                <c:pt idx="26">
                  <c:v>18.386889579999998</c:v>
                </c:pt>
                <c:pt idx="27">
                  <c:v>19.998335900000001</c:v>
                </c:pt>
                <c:pt idx="28">
                  <c:v>21.65980523</c:v>
                </c:pt>
                <c:pt idx="29">
                  <c:v>23.364337590000002</c:v>
                </c:pt>
                <c:pt idx="30">
                  <c:v>23.43159868</c:v>
                </c:pt>
                <c:pt idx="31">
                  <c:v>23.63374662</c:v>
                </c:pt>
                <c:pt idx="32">
                  <c:v>23.97060858</c:v>
                </c:pt>
                <c:pt idx="33">
                  <c:v>24.441153960000001</c:v>
                </c:pt>
                <c:pt idx="34">
                  <c:v>25.04355632</c:v>
                </c:pt>
                <c:pt idx="35">
                  <c:v>25.7752105</c:v>
                </c:pt>
                <c:pt idx="36">
                  <c:v>26.632722609999998</c:v>
                </c:pt>
                <c:pt idx="37">
                  <c:v>27.611888709999999</c:v>
                </c:pt>
                <c:pt idx="38">
                  <c:v>28.707673100000001</c:v>
                </c:pt>
                <c:pt idx="39">
                  <c:v>29.914193919999999</c:v>
                </c:pt>
                <c:pt idx="40">
                  <c:v>31.224720569999999</c:v>
                </c:pt>
                <c:pt idx="41">
                  <c:v>32.631685539999999</c:v>
                </c:pt>
                <c:pt idx="42">
                  <c:v>34.12671186</c:v>
                </c:pt>
                <c:pt idx="43">
                  <c:v>35.700656690000002</c:v>
                </c:pt>
                <c:pt idx="44">
                  <c:v>37.343670209999999</c:v>
                </c:pt>
                <c:pt idx="45">
                  <c:v>39.045268950000001</c:v>
                </c:pt>
                <c:pt idx="46">
                  <c:v>40.794421640000003</c:v>
                </c:pt>
                <c:pt idx="47">
                  <c:v>42.579645880000001</c:v>
                </c:pt>
                <c:pt idx="48">
                  <c:v>44.389113330000001</c:v>
                </c:pt>
                <c:pt idx="49">
                  <c:v>46.210761460000001</c:v>
                </c:pt>
                <c:pt idx="50">
                  <c:v>-46.210761460000001</c:v>
                </c:pt>
                <c:pt idx="51">
                  <c:v>-44.389113330000001</c:v>
                </c:pt>
                <c:pt idx="52">
                  <c:v>-42.579645880000001</c:v>
                </c:pt>
                <c:pt idx="53">
                  <c:v>-40.794421640000003</c:v>
                </c:pt>
                <c:pt idx="54">
                  <c:v>-39.045268950000001</c:v>
                </c:pt>
                <c:pt idx="55">
                  <c:v>-37.343670209999999</c:v>
                </c:pt>
                <c:pt idx="56">
                  <c:v>-35.700656690000002</c:v>
                </c:pt>
                <c:pt idx="57">
                  <c:v>-34.12671186</c:v>
                </c:pt>
                <c:pt idx="58">
                  <c:v>-32.631685539999999</c:v>
                </c:pt>
                <c:pt idx="59">
                  <c:v>-31.224720569999999</c:v>
                </c:pt>
                <c:pt idx="60">
                  <c:v>-29.914193919999999</c:v>
                </c:pt>
                <c:pt idx="61">
                  <c:v>-28.707673100000001</c:v>
                </c:pt>
                <c:pt idx="62">
                  <c:v>-27.611888709999999</c:v>
                </c:pt>
                <c:pt idx="63">
                  <c:v>-26.632722609999998</c:v>
                </c:pt>
                <c:pt idx="64">
                  <c:v>-25.7752105</c:v>
                </c:pt>
                <c:pt idx="65">
                  <c:v>-25.04355632</c:v>
                </c:pt>
                <c:pt idx="66">
                  <c:v>-24.441153960000001</c:v>
                </c:pt>
                <c:pt idx="67">
                  <c:v>-23.97060858</c:v>
                </c:pt>
                <c:pt idx="68">
                  <c:v>-23.63374662</c:v>
                </c:pt>
                <c:pt idx="69">
                  <c:v>-23.43159868</c:v>
                </c:pt>
                <c:pt idx="70">
                  <c:v>-23.364337590000002</c:v>
                </c:pt>
                <c:pt idx="71">
                  <c:v>-21.65980523</c:v>
                </c:pt>
                <c:pt idx="72">
                  <c:v>-19.998335900000001</c:v>
                </c:pt>
                <c:pt idx="73">
                  <c:v>-18.386889579999998</c:v>
                </c:pt>
                <c:pt idx="74">
                  <c:v>-16.83081129</c:v>
                </c:pt>
                <c:pt idx="75">
                  <c:v>-15.33467739</c:v>
                </c:pt>
                <c:pt idx="76">
                  <c:v>-13.90245176</c:v>
                </c:pt>
                <c:pt idx="77">
                  <c:v>-12.53752768</c:v>
                </c:pt>
                <c:pt idx="78">
                  <c:v>-11.242742809999999</c:v>
                </c:pt>
                <c:pt idx="79">
                  <c:v>-10.02038868</c:v>
                </c:pt>
                <c:pt idx="80">
                  <c:v>-8.8722212779999996</c:v>
                </c:pt>
                <c:pt idx="81">
                  <c:v>-7.7994746839999998</c:v>
                </c:pt>
                <c:pt idx="82">
                  <c:v>-6.802877928</c:v>
                </c:pt>
                <c:pt idx="83">
                  <c:v>-5.8826746019999998</c:v>
                </c:pt>
                <c:pt idx="84">
                  <c:v>-5.0386442149999997</c:v>
                </c:pt>
                <c:pt idx="85">
                  <c:v>-4.2701240680000003</c:v>
                </c:pt>
                <c:pt idx="86">
                  <c:v>-3.5760301499999998</c:v>
                </c:pt>
                <c:pt idx="87">
                  <c:v>-2.954875457</c:v>
                </c:pt>
                <c:pt idx="88">
                  <c:v>-2.4047839280000001</c:v>
                </c:pt>
                <c:pt idx="89">
                  <c:v>-1.92228577</c:v>
                </c:pt>
                <c:pt idx="90">
                  <c:v>-1.502185946</c:v>
                </c:pt>
                <c:pt idx="91">
                  <c:v>-1.142042472</c:v>
                </c:pt>
                <c:pt idx="92">
                  <c:v>-0.8391429359</c:v>
                </c:pt>
                <c:pt idx="93">
                  <c:v>-0.59045479460000005</c:v>
                </c:pt>
                <c:pt idx="94">
                  <c:v>-0.3925548244</c:v>
                </c:pt>
                <c:pt idx="95">
                  <c:v>-0.24153755269999999</c:v>
                </c:pt>
                <c:pt idx="96">
                  <c:v>-0.13289977489999999</c:v>
                </c:pt>
                <c:pt idx="97">
                  <c:v>-6.1387693889999997E-2</c:v>
                </c:pt>
                <c:pt idx="98">
                  <c:v>-2.076022039E-2</c:v>
                </c:pt>
                <c:pt idx="99">
                  <c:v>-3.3987614059999998E-3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6-43C7-BCF1-60B0BF0DE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348704"/>
        <c:axId val="1427349664"/>
      </c:scatterChart>
      <c:valAx>
        <c:axId val="142734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7349664"/>
        <c:crosses val="autoZero"/>
        <c:crossBetween val="midCat"/>
        <c:majorUnit val="0.2"/>
      </c:valAx>
      <c:valAx>
        <c:axId val="14273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734870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Esforço Cortante x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9.3057375577207627E-2"/>
                  <c:y val="0.357396785501067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CRUZEIRO'!$AO$56:$AO$105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CRUZEIRO'!$AU$56:$AU$105</c:f>
              <c:numCache>
                <c:formatCode>General</c:formatCode>
                <c:ptCount val="50"/>
                <c:pt idx="0">
                  <c:v>-46.210761460000001</c:v>
                </c:pt>
                <c:pt idx="1">
                  <c:v>-44.389113330000001</c:v>
                </c:pt>
                <c:pt idx="2">
                  <c:v>-42.579645880000001</c:v>
                </c:pt>
                <c:pt idx="3">
                  <c:v>-40.794421640000003</c:v>
                </c:pt>
                <c:pt idx="4">
                  <c:v>-39.045268950000001</c:v>
                </c:pt>
                <c:pt idx="5">
                  <c:v>-37.343670209999999</c:v>
                </c:pt>
                <c:pt idx="6">
                  <c:v>-35.700656690000002</c:v>
                </c:pt>
                <c:pt idx="7">
                  <c:v>-34.12671186</c:v>
                </c:pt>
                <c:pt idx="8">
                  <c:v>-32.631685539999999</c:v>
                </c:pt>
                <c:pt idx="9">
                  <c:v>-31.224720569999999</c:v>
                </c:pt>
                <c:pt idx="10">
                  <c:v>-29.914193919999999</c:v>
                </c:pt>
                <c:pt idx="11">
                  <c:v>-28.707673100000001</c:v>
                </c:pt>
                <c:pt idx="12">
                  <c:v>-27.611888709999999</c:v>
                </c:pt>
                <c:pt idx="13">
                  <c:v>-26.632722609999998</c:v>
                </c:pt>
                <c:pt idx="14">
                  <c:v>-25.7752105</c:v>
                </c:pt>
                <c:pt idx="15">
                  <c:v>-25.04355632</c:v>
                </c:pt>
                <c:pt idx="16">
                  <c:v>-24.441153960000001</c:v>
                </c:pt>
                <c:pt idx="17">
                  <c:v>-23.97060858</c:v>
                </c:pt>
                <c:pt idx="18">
                  <c:v>-23.63374662</c:v>
                </c:pt>
                <c:pt idx="19">
                  <c:v>-23.43159868</c:v>
                </c:pt>
                <c:pt idx="20">
                  <c:v>-23.364337590000002</c:v>
                </c:pt>
                <c:pt idx="21">
                  <c:v>-21.65980523</c:v>
                </c:pt>
                <c:pt idx="22">
                  <c:v>-19.998335900000001</c:v>
                </c:pt>
                <c:pt idx="23">
                  <c:v>-18.386889579999998</c:v>
                </c:pt>
                <c:pt idx="24">
                  <c:v>-16.83081129</c:v>
                </c:pt>
                <c:pt idx="25">
                  <c:v>-15.33467739</c:v>
                </c:pt>
                <c:pt idx="26">
                  <c:v>-13.90245176</c:v>
                </c:pt>
                <c:pt idx="27">
                  <c:v>-12.53752768</c:v>
                </c:pt>
                <c:pt idx="28">
                  <c:v>-11.242742809999999</c:v>
                </c:pt>
                <c:pt idx="29">
                  <c:v>-10.02038868</c:v>
                </c:pt>
                <c:pt idx="30">
                  <c:v>-8.8722212779999996</c:v>
                </c:pt>
                <c:pt idx="31">
                  <c:v>-7.7994746839999998</c:v>
                </c:pt>
                <c:pt idx="32">
                  <c:v>-6.802877928</c:v>
                </c:pt>
                <c:pt idx="33">
                  <c:v>-5.8826746019999998</c:v>
                </c:pt>
                <c:pt idx="34">
                  <c:v>-5.0386442149999997</c:v>
                </c:pt>
                <c:pt idx="35">
                  <c:v>-4.2701240680000003</c:v>
                </c:pt>
                <c:pt idx="36">
                  <c:v>-3.5760301499999998</c:v>
                </c:pt>
                <c:pt idx="37">
                  <c:v>-2.954875457</c:v>
                </c:pt>
                <c:pt idx="38">
                  <c:v>-2.4047839280000001</c:v>
                </c:pt>
                <c:pt idx="39">
                  <c:v>-1.92228577</c:v>
                </c:pt>
                <c:pt idx="40">
                  <c:v>-1.502185946</c:v>
                </c:pt>
                <c:pt idx="41">
                  <c:v>-1.142042472</c:v>
                </c:pt>
                <c:pt idx="42">
                  <c:v>-0.8391429359</c:v>
                </c:pt>
                <c:pt idx="43">
                  <c:v>-0.59045479460000005</c:v>
                </c:pt>
                <c:pt idx="44">
                  <c:v>-0.3925548244</c:v>
                </c:pt>
                <c:pt idx="45">
                  <c:v>-0.24153755269999999</c:v>
                </c:pt>
                <c:pt idx="46">
                  <c:v>-0.13289977489999999</c:v>
                </c:pt>
                <c:pt idx="47">
                  <c:v>-6.1387693889999997E-2</c:v>
                </c:pt>
                <c:pt idx="48">
                  <c:v>-2.076022039E-2</c:v>
                </c:pt>
                <c:pt idx="49">
                  <c:v>-3.3987614059999998E-3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60-48D3-933D-46042BCC81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727456"/>
        <c:axId val="1575717856"/>
      </c:scatterChart>
      <c:valAx>
        <c:axId val="15757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717856"/>
        <c:crosses val="autoZero"/>
        <c:crossBetween val="midCat"/>
      </c:valAx>
      <c:valAx>
        <c:axId val="15757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72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CRUZEIRO'!$AO$6:$AO$105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CRUZEIRO'!$AV$6:$AV$105</c:f>
              <c:numCache>
                <c:formatCode>0.000000000</c:formatCode>
                <c:ptCount val="100"/>
                <c:pt idx="0">
                  <c:v>-2.4499999999999998E-6</c:v>
                </c:pt>
                <c:pt idx="1">
                  <c:v>-4.7200000000000002E-5</c:v>
                </c:pt>
                <c:pt idx="2">
                  <c:v>-2.6745051469999998E-4</c:v>
                </c:pt>
                <c:pt idx="3">
                  <c:v>-9.3313065909999995E-4</c:v>
                </c:pt>
                <c:pt idx="4">
                  <c:v>-2.4829398410000001E-3</c:v>
                </c:pt>
                <c:pt idx="5">
                  <c:v>-5.5473750120000002E-3</c:v>
                </c:pt>
                <c:pt idx="6" formatCode="General">
                  <c:v>-1.096476654E-2</c:v>
                </c:pt>
                <c:pt idx="7" formatCode="General">
                  <c:v>-1.9791172900000001E-2</c:v>
                </c:pt>
                <c:pt idx="8" formatCode="General">
                  <c:v>-3.3304893019999997E-2</c:v>
                </c:pt>
                <c:pt idx="9" formatCode="General">
                  <c:v>-5.3006194219999997E-2</c:v>
                </c:pt>
                <c:pt idx="10" formatCode="General">
                  <c:v>-8.0612695339999998E-2</c:v>
                </c:pt>
                <c:pt idx="11" formatCode="General">
                  <c:v>-0.11805067480000001</c:v>
                </c:pt>
                <c:pt idx="12" formatCode="General">
                  <c:v>-0.1674925146</c:v>
                </c:pt>
                <c:pt idx="13" formatCode="General">
                  <c:v>-0.23132678549999999</c:v>
                </c:pt>
                <c:pt idx="14" formatCode="General">
                  <c:v>-0.31211741869999998</c:v>
                </c:pt>
                <c:pt idx="15" formatCode="General">
                  <c:v>-0.41257534629999998</c:v>
                </c:pt>
                <c:pt idx="16" formatCode="General">
                  <c:v>-0.53552538110000003</c:v>
                </c:pt>
                <c:pt idx="17" formatCode="General">
                  <c:v>-0.68386858240000004</c:v>
                </c:pt>
                <c:pt idx="18" formatCode="General">
                  <c:v>-0.86054044289999998</c:v>
                </c:pt>
                <c:pt idx="19" formatCode="General">
                  <c:v>-1.0684653260000001</c:v>
                </c:pt>
                <c:pt idx="20" formatCode="General">
                  <c:v>-1.310507691</c:v>
                </c:pt>
                <c:pt idx="21" formatCode="General">
                  <c:v>-1.589420743</c:v>
                </c:pt>
                <c:pt idx="22" formatCode="General">
                  <c:v>-1.9077932559999999</c:v>
                </c:pt>
                <c:pt idx="23" formatCode="General">
                  <c:v>-2.2679953739999998</c:v>
                </c:pt>
                <c:pt idx="24" formatCode="General">
                  <c:v>-2.6721242869999999</c:v>
                </c:pt>
                <c:pt idx="25" formatCode="General">
                  <c:v>-3.1219506259999998</c:v>
                </c:pt>
                <c:pt idx="26" formatCode="General">
                  <c:v>-3.6188663110000001</c:v>
                </c:pt>
                <c:pt idx="27" formatCode="General">
                  <c:v>-4.1638339809999998</c:v>
                </c:pt>
                <c:pt idx="28" formatCode="General">
                  <c:v>-4.7573357380000001</c:v>
                </c:pt>
                <c:pt idx="29" formatCode="General">
                  <c:v>-5.3993030869999998</c:v>
                </c:pt>
                <c:pt idx="30" formatCode="General">
                  <c:v>-5.4245842169999996</c:v>
                </c:pt>
                <c:pt idx="31" formatCode="General">
                  <c:v>-5.5009247060000002</c:v>
                </c:pt>
                <c:pt idx="32" formatCode="General">
                  <c:v>-5.6294418559999997</c:v>
                </c:pt>
                <c:pt idx="33" formatCode="General">
                  <c:v>-5.8117653220000003</c:v>
                </c:pt>
                <c:pt idx="34" formatCode="General">
                  <c:v>-6.0499782360000003</c:v>
                </c:pt>
                <c:pt idx="35" formatCode="General">
                  <c:v>-6.3465362839999999</c:v>
                </c:pt>
                <c:pt idx="36" formatCode="General">
                  <c:v>-6.7041665009999996</c:v>
                </c:pt>
                <c:pt idx="37" formatCode="General">
                  <c:v>-7.1257478409999999</c:v>
                </c:pt>
                <c:pt idx="38" formatCode="General">
                  <c:v>-7.6141761739999998</c:v>
                </c:pt>
                <c:pt idx="39" formatCode="General">
                  <c:v>-8.1722169220000005</c:v>
                </c:pt>
                <c:pt idx="40" formatCode="General">
                  <c:v>-8.8023491600000003</c:v>
                </c:pt>
                <c:pt idx="41" formatCode="General">
                  <c:v>-9.5066054990000008</c:v>
                </c:pt>
                <c:pt idx="42" formatCode="General">
                  <c:v>-10.28641249</c:v>
                </c:pt>
                <c:pt idx="43" formatCode="General">
                  <c:v>-11.14243651</c:v>
                </c:pt>
                <c:pt idx="44" formatCode="General">
                  <c:v>-12.074440170000001</c:v>
                </c:pt>
                <c:pt idx="45" formatCode="General">
                  <c:v>-13.081154229999999</c:v>
                </c:pt>
                <c:pt idx="46" formatCode="General">
                  <c:v>-14.160169570000001</c:v>
                </c:pt>
                <c:pt idx="47" formatCode="General">
                  <c:v>-15.30785345</c:v>
                </c:pt>
                <c:pt idx="48" formatCode="General">
                  <c:v>-16.519293569999999</c:v>
                </c:pt>
                <c:pt idx="49" formatCode="General">
                  <c:v>-17.788272670000001</c:v>
                </c:pt>
                <c:pt idx="50" formatCode="General">
                  <c:v>-17.788272670000001</c:v>
                </c:pt>
                <c:pt idx="51" formatCode="General">
                  <c:v>-16.519293569999999</c:v>
                </c:pt>
                <c:pt idx="52" formatCode="General">
                  <c:v>-15.30785345</c:v>
                </c:pt>
                <c:pt idx="53" formatCode="General">
                  <c:v>-14.160169570000001</c:v>
                </c:pt>
                <c:pt idx="54" formatCode="General">
                  <c:v>-13.081154229999999</c:v>
                </c:pt>
                <c:pt idx="55" formatCode="General">
                  <c:v>-12.074440170000001</c:v>
                </c:pt>
                <c:pt idx="56" formatCode="General">
                  <c:v>-11.14243651</c:v>
                </c:pt>
                <c:pt idx="57" formatCode="General">
                  <c:v>-10.28641249</c:v>
                </c:pt>
                <c:pt idx="58" formatCode="General">
                  <c:v>-9.5066054990000008</c:v>
                </c:pt>
                <c:pt idx="59" formatCode="General">
                  <c:v>-8.8023491600000003</c:v>
                </c:pt>
                <c:pt idx="60" formatCode="General">
                  <c:v>-8.1722169220000005</c:v>
                </c:pt>
                <c:pt idx="61" formatCode="General">
                  <c:v>-7.6141761739999998</c:v>
                </c:pt>
                <c:pt idx="62" formatCode="General">
                  <c:v>-7.1257478409999999</c:v>
                </c:pt>
                <c:pt idx="63" formatCode="General">
                  <c:v>-6.7041665009999996</c:v>
                </c:pt>
                <c:pt idx="64" formatCode="General">
                  <c:v>-6.3465362839999999</c:v>
                </c:pt>
                <c:pt idx="65" formatCode="General">
                  <c:v>-6.0499782360000003</c:v>
                </c:pt>
                <c:pt idx="66" formatCode="General">
                  <c:v>-5.8117653220000003</c:v>
                </c:pt>
                <c:pt idx="67" formatCode="General">
                  <c:v>-5.6294418559999997</c:v>
                </c:pt>
                <c:pt idx="68" formatCode="General">
                  <c:v>-5.5009247060000002</c:v>
                </c:pt>
                <c:pt idx="69" formatCode="General">
                  <c:v>-5.4245842169999996</c:v>
                </c:pt>
                <c:pt idx="70" formatCode="General">
                  <c:v>-5.3993030869999998</c:v>
                </c:pt>
                <c:pt idx="71" formatCode="General">
                  <c:v>-4.7573357380000001</c:v>
                </c:pt>
                <c:pt idx="72" formatCode="General">
                  <c:v>-4.1638339809999998</c:v>
                </c:pt>
                <c:pt idx="73" formatCode="General">
                  <c:v>-3.6188663110000001</c:v>
                </c:pt>
                <c:pt idx="74" formatCode="General">
                  <c:v>-3.1219506259999998</c:v>
                </c:pt>
                <c:pt idx="75" formatCode="General">
                  <c:v>-2.6721242869999999</c:v>
                </c:pt>
                <c:pt idx="76" formatCode="General">
                  <c:v>-2.2679953739999998</c:v>
                </c:pt>
                <c:pt idx="77" formatCode="General">
                  <c:v>-1.9077932559999999</c:v>
                </c:pt>
                <c:pt idx="78" formatCode="General">
                  <c:v>-1.589420743</c:v>
                </c:pt>
                <c:pt idx="79" formatCode="General">
                  <c:v>-1.310507691</c:v>
                </c:pt>
                <c:pt idx="80" formatCode="General">
                  <c:v>-1.0684653260000001</c:v>
                </c:pt>
                <c:pt idx="81" formatCode="General">
                  <c:v>-0.86054044289999998</c:v>
                </c:pt>
                <c:pt idx="82" formatCode="General">
                  <c:v>-0.68386858240000004</c:v>
                </c:pt>
                <c:pt idx="83" formatCode="General">
                  <c:v>-0.53552538110000003</c:v>
                </c:pt>
                <c:pt idx="84" formatCode="General">
                  <c:v>-0.41257534629999998</c:v>
                </c:pt>
                <c:pt idx="85" formatCode="General">
                  <c:v>-0.31211741869999998</c:v>
                </c:pt>
                <c:pt idx="86" formatCode="General">
                  <c:v>-0.23132678549999999</c:v>
                </c:pt>
                <c:pt idx="87" formatCode="General">
                  <c:v>-0.1674925146</c:v>
                </c:pt>
                <c:pt idx="88" formatCode="General">
                  <c:v>-0.11805067480000001</c:v>
                </c:pt>
                <c:pt idx="89" formatCode="General">
                  <c:v>-8.0612695339999998E-2</c:v>
                </c:pt>
                <c:pt idx="90" formatCode="General">
                  <c:v>-5.3006194219999997E-2</c:v>
                </c:pt>
                <c:pt idx="91" formatCode="General">
                  <c:v>-3.3304893019999997E-2</c:v>
                </c:pt>
                <c:pt idx="92" formatCode="General">
                  <c:v>-1.9791172900000001E-2</c:v>
                </c:pt>
                <c:pt idx="93" formatCode="General">
                  <c:v>-1.096476654E-2</c:v>
                </c:pt>
                <c:pt idx="94" formatCode="General">
                  <c:v>-5.5473750120000002E-3</c:v>
                </c:pt>
                <c:pt idx="95" formatCode="General">
                  <c:v>-2.4829398410000001E-3</c:v>
                </c:pt>
                <c:pt idx="96" formatCode="General">
                  <c:v>-9.3313065909999995E-4</c:v>
                </c:pt>
                <c:pt idx="97" formatCode="General">
                  <c:v>-2.6745051469999998E-4</c:v>
                </c:pt>
                <c:pt idx="98">
                  <c:v>-4.7200000000000002E-5</c:v>
                </c:pt>
                <c:pt idx="99">
                  <c:v>-2.4499999999999998E-6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C9-471C-BAF2-A0F926EB9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366992"/>
        <c:axId val="1419364592"/>
      </c:scatterChart>
      <c:valAx>
        <c:axId val="14193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364592"/>
        <c:crosses val="autoZero"/>
        <c:crossBetween val="midCat"/>
        <c:majorUnit val="0.2"/>
      </c:valAx>
      <c:valAx>
        <c:axId val="14193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36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  <a:endParaRPr lang="pt-B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7.3544192313618082E-3"/>
                  <c:y val="0.16618526482696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CRUZEIRO'!$AO$56:$AO$105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CRUZEIRO'!$AV$56:$AV$105</c:f>
              <c:numCache>
                <c:formatCode>General</c:formatCode>
                <c:ptCount val="50"/>
                <c:pt idx="0">
                  <c:v>-17.788272670000001</c:v>
                </c:pt>
                <c:pt idx="1">
                  <c:v>-16.519293569999999</c:v>
                </c:pt>
                <c:pt idx="2">
                  <c:v>-15.30785345</c:v>
                </c:pt>
                <c:pt idx="3">
                  <c:v>-14.160169570000001</c:v>
                </c:pt>
                <c:pt idx="4">
                  <c:v>-13.081154229999999</c:v>
                </c:pt>
                <c:pt idx="5">
                  <c:v>-12.074440170000001</c:v>
                </c:pt>
                <c:pt idx="6">
                  <c:v>-11.14243651</c:v>
                </c:pt>
                <c:pt idx="7">
                  <c:v>-10.28641249</c:v>
                </c:pt>
                <c:pt idx="8">
                  <c:v>-9.5066054990000008</c:v>
                </c:pt>
                <c:pt idx="9">
                  <c:v>-8.8023491600000003</c:v>
                </c:pt>
                <c:pt idx="10">
                  <c:v>-8.1722169220000005</c:v>
                </c:pt>
                <c:pt idx="11">
                  <c:v>-7.6141761739999998</c:v>
                </c:pt>
                <c:pt idx="12">
                  <c:v>-7.1257478409999999</c:v>
                </c:pt>
                <c:pt idx="13">
                  <c:v>-6.7041665009999996</c:v>
                </c:pt>
                <c:pt idx="14">
                  <c:v>-6.3465362839999999</c:v>
                </c:pt>
                <c:pt idx="15">
                  <c:v>-6.0499782360000003</c:v>
                </c:pt>
                <c:pt idx="16">
                  <c:v>-5.8117653220000003</c:v>
                </c:pt>
                <c:pt idx="17">
                  <c:v>-5.6294418559999997</c:v>
                </c:pt>
                <c:pt idx="18">
                  <c:v>-5.5009247060000002</c:v>
                </c:pt>
                <c:pt idx="19">
                  <c:v>-5.4245842169999996</c:v>
                </c:pt>
                <c:pt idx="20">
                  <c:v>-5.3993030869999998</c:v>
                </c:pt>
                <c:pt idx="21">
                  <c:v>-4.7573357380000001</c:v>
                </c:pt>
                <c:pt idx="22">
                  <c:v>-4.1638339809999998</c:v>
                </c:pt>
                <c:pt idx="23">
                  <c:v>-3.6188663110000001</c:v>
                </c:pt>
                <c:pt idx="24">
                  <c:v>-3.1219506259999998</c:v>
                </c:pt>
                <c:pt idx="25">
                  <c:v>-2.6721242869999999</c:v>
                </c:pt>
                <c:pt idx="26">
                  <c:v>-2.2679953739999998</c:v>
                </c:pt>
                <c:pt idx="27">
                  <c:v>-1.9077932559999999</c:v>
                </c:pt>
                <c:pt idx="28">
                  <c:v>-1.589420743</c:v>
                </c:pt>
                <c:pt idx="29">
                  <c:v>-1.310507691</c:v>
                </c:pt>
                <c:pt idx="30">
                  <c:v>-1.0684653260000001</c:v>
                </c:pt>
                <c:pt idx="31">
                  <c:v>-0.86054044289999998</c:v>
                </c:pt>
                <c:pt idx="32">
                  <c:v>-0.68386858240000004</c:v>
                </c:pt>
                <c:pt idx="33">
                  <c:v>-0.53552538110000003</c:v>
                </c:pt>
                <c:pt idx="34">
                  <c:v>-0.41257534629999998</c:v>
                </c:pt>
                <c:pt idx="35">
                  <c:v>-0.31211741869999998</c:v>
                </c:pt>
                <c:pt idx="36">
                  <c:v>-0.23132678549999999</c:v>
                </c:pt>
                <c:pt idx="37">
                  <c:v>-0.1674925146</c:v>
                </c:pt>
                <c:pt idx="38">
                  <c:v>-0.11805067480000001</c:v>
                </c:pt>
                <c:pt idx="39">
                  <c:v>-8.0612695339999998E-2</c:v>
                </c:pt>
                <c:pt idx="40">
                  <c:v>-5.3006194219999997E-2</c:v>
                </c:pt>
                <c:pt idx="41">
                  <c:v>-3.3304893019999997E-2</c:v>
                </c:pt>
                <c:pt idx="42">
                  <c:v>-1.9791172900000001E-2</c:v>
                </c:pt>
                <c:pt idx="43">
                  <c:v>-1.096476654E-2</c:v>
                </c:pt>
                <c:pt idx="44">
                  <c:v>-5.5473750120000002E-3</c:v>
                </c:pt>
                <c:pt idx="45">
                  <c:v>-2.4829398410000001E-3</c:v>
                </c:pt>
                <c:pt idx="46">
                  <c:v>-9.3313065909999995E-4</c:v>
                </c:pt>
                <c:pt idx="47">
                  <c:v>-2.6745051469999998E-4</c:v>
                </c:pt>
                <c:pt idx="48" formatCode="0.000000000">
                  <c:v>-4.7200000000000002E-5</c:v>
                </c:pt>
                <c:pt idx="49" formatCode="0.000000000">
                  <c:v>-2.4499999999999998E-6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0-42E5-90A5-815B6931E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886256"/>
        <c:axId val="1408639856"/>
      </c:scatterChart>
      <c:valAx>
        <c:axId val="14108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Semi-envergadura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39856"/>
        <c:crosses val="autoZero"/>
        <c:crossBetween val="midCat"/>
      </c:valAx>
      <c:valAx>
        <c:axId val="14086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8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de Sustentação da Asa COM endplat vs Envergadura Total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CRUZEIRO'!$AO$6:$AO$105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CRUZEIRO'!$AS$6:$AS$105</c:f>
              <c:numCache>
                <c:formatCode>_(* #,##0.00_);_(* \(#,##0.00\);_(* "-"??_);_(@_)</c:formatCode>
                <c:ptCount val="100"/>
                <c:pt idx="0">
                  <c:v>26.574188056921912</c:v>
                </c:pt>
                <c:pt idx="1">
                  <c:v>45.589643369787296</c:v>
                </c:pt>
                <c:pt idx="2">
                  <c:v>64.951036474027731</c:v>
                </c:pt>
                <c:pt idx="3">
                  <c:v>83.041664569503652</c:v>
                </c:pt>
                <c:pt idx="4">
                  <c:v>99.557649143583959</c:v>
                </c:pt>
                <c:pt idx="5">
                  <c:v>114.43916121159118</c:v>
                </c:pt>
                <c:pt idx="6">
                  <c:v>127.70515805309871</c:v>
                </c:pt>
                <c:pt idx="7">
                  <c:v>139.4153489410381</c:v>
                </c:pt>
                <c:pt idx="8">
                  <c:v>149.65646996704666</c:v>
                </c:pt>
                <c:pt idx="9">
                  <c:v>158.53278012581171</c:v>
                </c:pt>
                <c:pt idx="10">
                  <c:v>166.15827191682152</c:v>
                </c:pt>
                <c:pt idx="11">
                  <c:v>172.6503851630674</c:v>
                </c:pt>
                <c:pt idx="12">
                  <c:v>178.12519755061354</c:v>
                </c:pt>
                <c:pt idx="13">
                  <c:v>182.69398464090625</c:v>
                </c:pt>
                <c:pt idx="14">
                  <c:v>186.46095230572851</c:v>
                </c:pt>
                <c:pt idx="15">
                  <c:v>189.52191845988455</c:v>
                </c:pt>
                <c:pt idx="16">
                  <c:v>191.96371675405621</c:v>
                </c:pt>
                <c:pt idx="17">
                  <c:v>193.86412452404943</c:v>
                </c:pt>
                <c:pt idx="18">
                  <c:v>195.29215389908072</c:v>
                </c:pt>
                <c:pt idx="19">
                  <c:v>196.30857591290371</c:v>
                </c:pt>
                <c:pt idx="20">
                  <c:v>196.96657767640781</c:v>
                </c:pt>
                <c:pt idx="21">
                  <c:v>197.31247547670938</c:v>
                </c:pt>
                <c:pt idx="22">
                  <c:v>197.38641930568912</c:v>
                </c:pt>
                <c:pt idx="23">
                  <c:v>197.22302751673038</c:v>
                </c:pt>
                <c:pt idx="24">
                  <c:v>196.85186183674369</c:v>
                </c:pt>
                <c:pt idx="25">
                  <c:v>196.29756522133815</c:v>
                </c:pt>
                <c:pt idx="26">
                  <c:v>195.57918637900701</c:v>
                </c:pt>
                <c:pt idx="27">
                  <c:v>194.70710483090434</c:v>
                </c:pt>
                <c:pt idx="28">
                  <c:v>193.67046197647056</c:v>
                </c:pt>
                <c:pt idx="29">
                  <c:v>192.36262400784486</c:v>
                </c:pt>
                <c:pt idx="30">
                  <c:v>191.16061871823771</c:v>
                </c:pt>
                <c:pt idx="31">
                  <c:v>191.42210194285468</c:v>
                </c:pt>
                <c:pt idx="32">
                  <c:v>192.13691732342173</c:v>
                </c:pt>
                <c:pt idx="33">
                  <c:v>192.89087427584718</c:v>
                </c:pt>
                <c:pt idx="34">
                  <c:v>193.66367990876674</c:v>
                </c:pt>
                <c:pt idx="35">
                  <c:v>194.46060990618625</c:v>
                </c:pt>
                <c:pt idx="36">
                  <c:v>195.28076290736846</c:v>
                </c:pt>
                <c:pt idx="37">
                  <c:v>196.1169938308332</c:v>
                </c:pt>
                <c:pt idx="38">
                  <c:v>196.95817344990417</c:v>
                </c:pt>
                <c:pt idx="39">
                  <c:v>197.79102147427943</c:v>
                </c:pt>
                <c:pt idx="40">
                  <c:v>198.6013898088151</c:v>
                </c:pt>
                <c:pt idx="41">
                  <c:v>199.37514720894671</c:v>
                </c:pt>
                <c:pt idx="42">
                  <c:v>200.09879534368463</c:v>
                </c:pt>
                <c:pt idx="43">
                  <c:v>200.75989136747316</c:v>
                </c:pt>
                <c:pt idx="44">
                  <c:v>201.3473266810696</c:v>
                </c:pt>
                <c:pt idx="45">
                  <c:v>201.85149601839311</c:v>
                </c:pt>
                <c:pt idx="46">
                  <c:v>202.26438474995817</c:v>
                </c:pt>
                <c:pt idx="47">
                  <c:v>202.57960229350607</c:v>
                </c:pt>
                <c:pt idx="48">
                  <c:v>202.79238066136887</c:v>
                </c:pt>
                <c:pt idx="49">
                  <c:v>202.89955731936257</c:v>
                </c:pt>
                <c:pt idx="50">
                  <c:v>202.89955731936257</c:v>
                </c:pt>
                <c:pt idx="51">
                  <c:v>202.79238066136887</c:v>
                </c:pt>
                <c:pt idx="52">
                  <c:v>202.57960229350607</c:v>
                </c:pt>
                <c:pt idx="53">
                  <c:v>202.26438474995817</c:v>
                </c:pt>
                <c:pt idx="54">
                  <c:v>201.85149601839311</c:v>
                </c:pt>
                <c:pt idx="55">
                  <c:v>201.3473266810696</c:v>
                </c:pt>
                <c:pt idx="56">
                  <c:v>200.75989136747316</c:v>
                </c:pt>
                <c:pt idx="57">
                  <c:v>200.09879534368463</c:v>
                </c:pt>
                <c:pt idx="58">
                  <c:v>199.37514720894671</c:v>
                </c:pt>
                <c:pt idx="59">
                  <c:v>198.6013898088151</c:v>
                </c:pt>
                <c:pt idx="60">
                  <c:v>197.79102147427943</c:v>
                </c:pt>
                <c:pt idx="61">
                  <c:v>196.95817344990417</c:v>
                </c:pt>
                <c:pt idx="62">
                  <c:v>196.1169938308332</c:v>
                </c:pt>
                <c:pt idx="63">
                  <c:v>195.28076290736846</c:v>
                </c:pt>
                <c:pt idx="64">
                  <c:v>194.46060990618625</c:v>
                </c:pt>
                <c:pt idx="65">
                  <c:v>193.66367990876674</c:v>
                </c:pt>
                <c:pt idx="66">
                  <c:v>192.89087427584718</c:v>
                </c:pt>
                <c:pt idx="67">
                  <c:v>192.13691732342173</c:v>
                </c:pt>
                <c:pt idx="68">
                  <c:v>191.42210194285468</c:v>
                </c:pt>
                <c:pt idx="69">
                  <c:v>191.16061871823771</c:v>
                </c:pt>
                <c:pt idx="70">
                  <c:v>192.36262400784486</c:v>
                </c:pt>
                <c:pt idx="71">
                  <c:v>193.67046197647056</c:v>
                </c:pt>
                <c:pt idx="72">
                  <c:v>194.70710483090434</c:v>
                </c:pt>
                <c:pt idx="73">
                  <c:v>195.57918637900701</c:v>
                </c:pt>
                <c:pt idx="74">
                  <c:v>196.29756522133815</c:v>
                </c:pt>
                <c:pt idx="75">
                  <c:v>196.85186183674369</c:v>
                </c:pt>
                <c:pt idx="76">
                  <c:v>197.22302751673038</c:v>
                </c:pt>
                <c:pt idx="77">
                  <c:v>197.38641930568912</c:v>
                </c:pt>
                <c:pt idx="78">
                  <c:v>197.31247547670938</c:v>
                </c:pt>
                <c:pt idx="79">
                  <c:v>196.96657767640781</c:v>
                </c:pt>
                <c:pt idx="80">
                  <c:v>196.30857591290371</c:v>
                </c:pt>
                <c:pt idx="81">
                  <c:v>195.29215389908072</c:v>
                </c:pt>
                <c:pt idx="82">
                  <c:v>193.86412452404943</c:v>
                </c:pt>
                <c:pt idx="83">
                  <c:v>191.96371675405621</c:v>
                </c:pt>
                <c:pt idx="84">
                  <c:v>189.52191845988455</c:v>
                </c:pt>
                <c:pt idx="85">
                  <c:v>186.46095230572851</c:v>
                </c:pt>
                <c:pt idx="86">
                  <c:v>182.69398464090625</c:v>
                </c:pt>
                <c:pt idx="87">
                  <c:v>178.12519755061354</c:v>
                </c:pt>
                <c:pt idx="88">
                  <c:v>172.6503851630674</c:v>
                </c:pt>
                <c:pt idx="89">
                  <c:v>166.15827191682152</c:v>
                </c:pt>
                <c:pt idx="90">
                  <c:v>158.53278012581171</c:v>
                </c:pt>
                <c:pt idx="91">
                  <c:v>149.65646996704666</c:v>
                </c:pt>
                <c:pt idx="92">
                  <c:v>139.4153489410381</c:v>
                </c:pt>
                <c:pt idx="93">
                  <c:v>127.70515805309871</c:v>
                </c:pt>
                <c:pt idx="94">
                  <c:v>114.43916121159118</c:v>
                </c:pt>
                <c:pt idx="95">
                  <c:v>99.557649143583959</c:v>
                </c:pt>
                <c:pt idx="96">
                  <c:v>83.041664569503652</c:v>
                </c:pt>
                <c:pt idx="97">
                  <c:v>64.951036474027731</c:v>
                </c:pt>
                <c:pt idx="98">
                  <c:v>45.589643369787296</c:v>
                </c:pt>
                <c:pt idx="99">
                  <c:v>26.574188056921912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6-467B-B22F-74B9AA456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641296"/>
        <c:axId val="1408641776"/>
      </c:scatterChart>
      <c:valAx>
        <c:axId val="14086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776"/>
        <c:crosses val="autoZero"/>
        <c:crossBetween val="midCat"/>
        <c:majorUnit val="0.2"/>
      </c:valAx>
      <c:valAx>
        <c:axId val="14086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29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da Asa COM  endplat vs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758C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7302932955185246E-2"/>
                  <c:y val="2.6352293700374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CRUZEIRO'!$AO$56:$AO$105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CRUZEIRO'!$AS$56:$AS$105</c:f>
              <c:numCache>
                <c:formatCode>_(* #,##0.00_);_(* \(#,##0.00\);_(* "-"??_);_(@_)</c:formatCode>
                <c:ptCount val="50"/>
                <c:pt idx="0">
                  <c:v>202.89955731936257</c:v>
                </c:pt>
                <c:pt idx="1">
                  <c:v>202.79238066136887</c:v>
                </c:pt>
                <c:pt idx="2">
                  <c:v>202.57960229350607</c:v>
                </c:pt>
                <c:pt idx="3">
                  <c:v>202.26438474995817</c:v>
                </c:pt>
                <c:pt idx="4">
                  <c:v>201.85149601839311</c:v>
                </c:pt>
                <c:pt idx="5">
                  <c:v>201.3473266810696</c:v>
                </c:pt>
                <c:pt idx="6">
                  <c:v>200.75989136747316</c:v>
                </c:pt>
                <c:pt idx="7">
                  <c:v>200.09879534368463</c:v>
                </c:pt>
                <c:pt idx="8">
                  <c:v>199.37514720894671</c:v>
                </c:pt>
                <c:pt idx="9">
                  <c:v>198.6013898088151</c:v>
                </c:pt>
                <c:pt idx="10">
                  <c:v>197.79102147427943</c:v>
                </c:pt>
                <c:pt idx="11">
                  <c:v>196.95817344990417</c:v>
                </c:pt>
                <c:pt idx="12">
                  <c:v>196.1169938308332</c:v>
                </c:pt>
                <c:pt idx="13">
                  <c:v>195.28076290736846</c:v>
                </c:pt>
                <c:pt idx="14">
                  <c:v>194.46060990618625</c:v>
                </c:pt>
                <c:pt idx="15">
                  <c:v>193.66367990876674</c:v>
                </c:pt>
                <c:pt idx="16">
                  <c:v>192.89087427584718</c:v>
                </c:pt>
                <c:pt idx="17">
                  <c:v>192.13691732342173</c:v>
                </c:pt>
                <c:pt idx="18">
                  <c:v>191.42210194285468</c:v>
                </c:pt>
                <c:pt idx="19">
                  <c:v>191.16061871823771</c:v>
                </c:pt>
                <c:pt idx="20">
                  <c:v>192.36262400784486</c:v>
                </c:pt>
                <c:pt idx="21">
                  <c:v>193.67046197647056</c:v>
                </c:pt>
                <c:pt idx="22">
                  <c:v>194.70710483090434</c:v>
                </c:pt>
                <c:pt idx="23">
                  <c:v>195.57918637900701</c:v>
                </c:pt>
                <c:pt idx="24">
                  <c:v>196.29756522133815</c:v>
                </c:pt>
                <c:pt idx="25">
                  <c:v>196.85186183674369</c:v>
                </c:pt>
                <c:pt idx="26">
                  <c:v>197.22302751673038</c:v>
                </c:pt>
                <c:pt idx="27">
                  <c:v>197.38641930568912</c:v>
                </c:pt>
                <c:pt idx="28">
                  <c:v>197.31247547670938</c:v>
                </c:pt>
                <c:pt idx="29">
                  <c:v>196.96657767640781</c:v>
                </c:pt>
                <c:pt idx="30">
                  <c:v>196.30857591290371</c:v>
                </c:pt>
                <c:pt idx="31">
                  <c:v>195.29215389908072</c:v>
                </c:pt>
                <c:pt idx="32">
                  <c:v>193.86412452404943</c:v>
                </c:pt>
                <c:pt idx="33">
                  <c:v>191.96371675405621</c:v>
                </c:pt>
                <c:pt idx="34">
                  <c:v>189.52191845988455</c:v>
                </c:pt>
                <c:pt idx="35">
                  <c:v>186.46095230572851</c:v>
                </c:pt>
                <c:pt idx="36">
                  <c:v>182.69398464090625</c:v>
                </c:pt>
                <c:pt idx="37">
                  <c:v>178.12519755061354</c:v>
                </c:pt>
                <c:pt idx="38">
                  <c:v>172.6503851630674</c:v>
                </c:pt>
                <c:pt idx="39">
                  <c:v>166.15827191682152</c:v>
                </c:pt>
                <c:pt idx="40">
                  <c:v>158.53278012581171</c:v>
                </c:pt>
                <c:pt idx="41">
                  <c:v>149.65646996704666</c:v>
                </c:pt>
                <c:pt idx="42">
                  <c:v>139.4153489410381</c:v>
                </c:pt>
                <c:pt idx="43">
                  <c:v>127.70515805309871</c:v>
                </c:pt>
                <c:pt idx="44">
                  <c:v>114.43916121159118</c:v>
                </c:pt>
                <c:pt idx="45">
                  <c:v>99.557649143583959</c:v>
                </c:pt>
                <c:pt idx="46">
                  <c:v>83.041664569503652</c:v>
                </c:pt>
                <c:pt idx="47">
                  <c:v>64.951036474027731</c:v>
                </c:pt>
                <c:pt idx="48">
                  <c:v>45.589643369787296</c:v>
                </c:pt>
                <c:pt idx="49">
                  <c:v>26.574188056921912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6-48CF-958B-B950A1457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24512"/>
        <c:axId val="1430924992"/>
      </c:scatterChart>
      <c:valAx>
        <c:axId val="143092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Semi-envergadura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992"/>
        <c:crosses val="autoZero"/>
        <c:crossBetween val="midCat"/>
      </c:valAx>
      <c:valAx>
        <c:axId val="14309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512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DISTRIBUIÇÃO DE SUSTENTAÇÃO DA ASA</a:t>
            </a:r>
            <a:r>
              <a:rPr lang="pt-BR" b="1" baseline="0"/>
              <a:t> PELA ENVERGADURA TOTAL COM/SEM ENDPLATE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Força de Sustentação COM Endplate</c:v>
          </c:tx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none"/>
          </c:marker>
          <c:xVal>
            <c:numRef>
              <c:f>'Distrib. ASA INCD. CRUZEIRO'!$CI$5:$CI$304</c:f>
              <c:numCache>
                <c:formatCode>General</c:formatCode>
                <c:ptCount val="3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CRUZEIRO'!$CH$5:$CH$304</c:f>
              <c:numCache>
                <c:formatCode>General</c:formatCode>
                <c:ptCount val="300"/>
                <c:pt idx="0">
                  <c:v>26.574188056921912</c:v>
                </c:pt>
                <c:pt idx="1">
                  <c:v>45.589643369787296</c:v>
                </c:pt>
                <c:pt idx="2">
                  <c:v>64.951036474027731</c:v>
                </c:pt>
                <c:pt idx="3">
                  <c:v>83.041664569503652</c:v>
                </c:pt>
                <c:pt idx="4">
                  <c:v>99.557649143583959</c:v>
                </c:pt>
                <c:pt idx="5">
                  <c:v>114.43916121159118</c:v>
                </c:pt>
                <c:pt idx="6">
                  <c:v>127.70515805309871</c:v>
                </c:pt>
                <c:pt idx="7">
                  <c:v>139.4153489410381</c:v>
                </c:pt>
                <c:pt idx="8">
                  <c:v>149.65646996704666</c:v>
                </c:pt>
                <c:pt idx="9">
                  <c:v>158.53278012581171</c:v>
                </c:pt>
                <c:pt idx="10">
                  <c:v>166.15827191682152</c:v>
                </c:pt>
                <c:pt idx="11">
                  <c:v>172.6503851630674</c:v>
                </c:pt>
                <c:pt idx="12">
                  <c:v>178.12519755061354</c:v>
                </c:pt>
                <c:pt idx="13">
                  <c:v>182.69398464090625</c:v>
                </c:pt>
                <c:pt idx="14">
                  <c:v>186.46095230572851</c:v>
                </c:pt>
                <c:pt idx="15">
                  <c:v>189.52191845988455</c:v>
                </c:pt>
                <c:pt idx="16">
                  <c:v>191.96371675405621</c:v>
                </c:pt>
                <c:pt idx="17">
                  <c:v>193.86412452404943</c:v>
                </c:pt>
                <c:pt idx="18">
                  <c:v>195.29215389908072</c:v>
                </c:pt>
                <c:pt idx="19">
                  <c:v>196.30857591290371</c:v>
                </c:pt>
                <c:pt idx="20">
                  <c:v>196.96657767640781</c:v>
                </c:pt>
                <c:pt idx="21">
                  <c:v>197.31247547670938</c:v>
                </c:pt>
                <c:pt idx="22">
                  <c:v>197.38641930568912</c:v>
                </c:pt>
                <c:pt idx="23">
                  <c:v>197.22302751673038</c:v>
                </c:pt>
                <c:pt idx="24">
                  <c:v>196.85186183674369</c:v>
                </c:pt>
                <c:pt idx="25">
                  <c:v>196.29756522133815</c:v>
                </c:pt>
                <c:pt idx="26">
                  <c:v>195.57918637900701</c:v>
                </c:pt>
                <c:pt idx="27">
                  <c:v>194.70710483090434</c:v>
                </c:pt>
                <c:pt idx="28">
                  <c:v>193.67046197647056</c:v>
                </c:pt>
                <c:pt idx="29">
                  <c:v>192.36262400784486</c:v>
                </c:pt>
                <c:pt idx="30">
                  <c:v>191.16061871823771</c:v>
                </c:pt>
                <c:pt idx="31">
                  <c:v>191.42210194285468</c:v>
                </c:pt>
                <c:pt idx="32">
                  <c:v>192.13691732342173</c:v>
                </c:pt>
                <c:pt idx="33">
                  <c:v>192.89087427584718</c:v>
                </c:pt>
                <c:pt idx="34">
                  <c:v>193.66367990876674</c:v>
                </c:pt>
                <c:pt idx="35">
                  <c:v>194.46060990618625</c:v>
                </c:pt>
                <c:pt idx="36">
                  <c:v>195.28076290736846</c:v>
                </c:pt>
                <c:pt idx="37">
                  <c:v>196.1169938308332</c:v>
                </c:pt>
                <c:pt idx="38">
                  <c:v>196.95817344990417</c:v>
                </c:pt>
                <c:pt idx="39">
                  <c:v>197.79102147427943</c:v>
                </c:pt>
                <c:pt idx="40">
                  <c:v>198.6013898088151</c:v>
                </c:pt>
                <c:pt idx="41">
                  <c:v>199.37514720894671</c:v>
                </c:pt>
                <c:pt idx="42">
                  <c:v>200.09879534368463</c:v>
                </c:pt>
                <c:pt idx="43">
                  <c:v>200.75989136747316</c:v>
                </c:pt>
                <c:pt idx="44">
                  <c:v>201.3473266810696</c:v>
                </c:pt>
                <c:pt idx="45">
                  <c:v>201.85149601839311</c:v>
                </c:pt>
                <c:pt idx="46">
                  <c:v>202.26438474995817</c:v>
                </c:pt>
                <c:pt idx="47">
                  <c:v>202.57960229350607</c:v>
                </c:pt>
                <c:pt idx="48">
                  <c:v>202.79238066136887</c:v>
                </c:pt>
                <c:pt idx="49">
                  <c:v>202.89955731936257</c:v>
                </c:pt>
                <c:pt idx="50">
                  <c:v>202.89955731936257</c:v>
                </c:pt>
                <c:pt idx="51">
                  <c:v>202.79238066136887</c:v>
                </c:pt>
                <c:pt idx="52">
                  <c:v>202.57960229350607</c:v>
                </c:pt>
                <c:pt idx="53">
                  <c:v>202.26438474995817</c:v>
                </c:pt>
                <c:pt idx="54">
                  <c:v>201.85149601839311</c:v>
                </c:pt>
                <c:pt idx="55">
                  <c:v>201.3473266810696</c:v>
                </c:pt>
                <c:pt idx="56">
                  <c:v>200.75989136747316</c:v>
                </c:pt>
                <c:pt idx="57">
                  <c:v>200.09879534368463</c:v>
                </c:pt>
                <c:pt idx="58">
                  <c:v>199.37514720894671</c:v>
                </c:pt>
                <c:pt idx="59">
                  <c:v>198.6013898088151</c:v>
                </c:pt>
                <c:pt idx="60">
                  <c:v>197.79102147427943</c:v>
                </c:pt>
                <c:pt idx="61">
                  <c:v>196.95817344990417</c:v>
                </c:pt>
                <c:pt idx="62">
                  <c:v>196.1169938308332</c:v>
                </c:pt>
                <c:pt idx="63">
                  <c:v>195.28076290736846</c:v>
                </c:pt>
                <c:pt idx="64">
                  <c:v>194.46060990618625</c:v>
                </c:pt>
                <c:pt idx="65">
                  <c:v>193.66367990876674</c:v>
                </c:pt>
                <c:pt idx="66">
                  <c:v>192.89087427584718</c:v>
                </c:pt>
                <c:pt idx="67">
                  <c:v>192.13691732342173</c:v>
                </c:pt>
                <c:pt idx="68">
                  <c:v>191.42210194285468</c:v>
                </c:pt>
                <c:pt idx="69">
                  <c:v>191.16061871823771</c:v>
                </c:pt>
                <c:pt idx="70">
                  <c:v>192.36262400784486</c:v>
                </c:pt>
                <c:pt idx="71">
                  <c:v>193.67046197647056</c:v>
                </c:pt>
                <c:pt idx="72">
                  <c:v>194.70710483090434</c:v>
                </c:pt>
                <c:pt idx="73">
                  <c:v>195.57918637900701</c:v>
                </c:pt>
                <c:pt idx="74">
                  <c:v>196.29756522133815</c:v>
                </c:pt>
                <c:pt idx="75">
                  <c:v>196.85186183674369</c:v>
                </c:pt>
                <c:pt idx="76">
                  <c:v>197.22302751673038</c:v>
                </c:pt>
                <c:pt idx="77">
                  <c:v>197.38641930568912</c:v>
                </c:pt>
                <c:pt idx="78">
                  <c:v>197.31247547670938</c:v>
                </c:pt>
                <c:pt idx="79">
                  <c:v>196.96657767640781</c:v>
                </c:pt>
                <c:pt idx="80">
                  <c:v>196.30857591290371</c:v>
                </c:pt>
                <c:pt idx="81">
                  <c:v>195.29215389908072</c:v>
                </c:pt>
                <c:pt idx="82">
                  <c:v>193.86412452404943</c:v>
                </c:pt>
                <c:pt idx="83">
                  <c:v>191.96371675405621</c:v>
                </c:pt>
                <c:pt idx="84">
                  <c:v>189.52191845988455</c:v>
                </c:pt>
                <c:pt idx="85">
                  <c:v>186.46095230572851</c:v>
                </c:pt>
                <c:pt idx="86">
                  <c:v>182.69398464090625</c:v>
                </c:pt>
                <c:pt idx="87">
                  <c:v>178.12519755061354</c:v>
                </c:pt>
                <c:pt idx="88">
                  <c:v>172.6503851630674</c:v>
                </c:pt>
                <c:pt idx="89">
                  <c:v>166.15827191682152</c:v>
                </c:pt>
                <c:pt idx="90">
                  <c:v>158.53278012581171</c:v>
                </c:pt>
                <c:pt idx="91">
                  <c:v>149.65646996704666</c:v>
                </c:pt>
                <c:pt idx="92">
                  <c:v>139.4153489410381</c:v>
                </c:pt>
                <c:pt idx="93">
                  <c:v>127.70515805309871</c:v>
                </c:pt>
                <c:pt idx="94">
                  <c:v>114.43916121159118</c:v>
                </c:pt>
                <c:pt idx="95">
                  <c:v>99.557649143583959</c:v>
                </c:pt>
                <c:pt idx="96">
                  <c:v>83.041664569503652</c:v>
                </c:pt>
                <c:pt idx="97">
                  <c:v>64.951036474027731</c:v>
                </c:pt>
                <c:pt idx="98">
                  <c:v>45.589643369787296</c:v>
                </c:pt>
                <c:pt idx="99">
                  <c:v>26.574188056921912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7D-432E-9628-1E4C675E4E50}"/>
            </c:ext>
          </c:extLst>
        </c:ser>
        <c:ser>
          <c:idx val="1"/>
          <c:order val="1"/>
          <c:tx>
            <c:v>Força de Sustentação SEM Endplate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'Distrib. ASA INCD. CRUZEIRO'!$CI$5:$CI$304</c:f>
              <c:numCache>
                <c:formatCode>General</c:formatCode>
                <c:ptCount val="3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CRUZEIRO'!$CG$5:$CG$304</c:f>
              <c:numCache>
                <c:formatCode>General</c:formatCode>
                <c:ptCount val="300"/>
                <c:pt idx="0">
                  <c:v>23.624036484653264</c:v>
                </c:pt>
                <c:pt idx="1">
                  <c:v>40.590533618844368</c:v>
                </c:pt>
                <c:pt idx="2">
                  <c:v>57.99556612463801</c:v>
                </c:pt>
                <c:pt idx="3">
                  <c:v>74.412895829072696</c:v>
                </c:pt>
                <c:pt idx="4">
                  <c:v>89.537521811135591</c:v>
                </c:pt>
                <c:pt idx="5">
                  <c:v>103.2875621517607</c:v>
                </c:pt>
                <c:pt idx="6">
                  <c:v>115.65909206046548</c:v>
                </c:pt>
                <c:pt idx="7">
                  <c:v>126.68529811432859</c:v>
                </c:pt>
                <c:pt idx="8">
                  <c:v>136.42401187972845</c:v>
                </c:pt>
                <c:pt idx="9">
                  <c:v>144.95033776930481</c:v>
                </c:pt>
                <c:pt idx="10">
                  <c:v>152.35058738535628</c:v>
                </c:pt>
                <c:pt idx="11">
                  <c:v>158.71712778927824</c:v>
                </c:pt>
                <c:pt idx="12">
                  <c:v>164.14417343250227</c:v>
                </c:pt>
                <c:pt idx="13">
                  <c:v>168.72453367508174</c:v>
                </c:pt>
                <c:pt idx="14">
                  <c:v>172.54725235361587</c:v>
                </c:pt>
                <c:pt idx="15">
                  <c:v>175.6960255699446</c:v>
                </c:pt>
                <c:pt idx="16">
                  <c:v>178.24825863975323</c:v>
                </c:pt>
                <c:pt idx="17">
                  <c:v>180.2746214406441</c:v>
                </c:pt>
                <c:pt idx="18">
                  <c:v>181.83897403716509</c:v>
                </c:pt>
                <c:pt idx="19">
                  <c:v>182.99855319929242</c:v>
                </c:pt>
                <c:pt idx="20">
                  <c:v>183.80433018671721</c:v>
                </c:pt>
                <c:pt idx="21">
                  <c:v>184.30146527869954</c:v>
                </c:pt>
                <c:pt idx="22">
                  <c:v>184.52979673140021</c:v>
                </c:pt>
                <c:pt idx="23">
                  <c:v>184.52430242565225</c:v>
                </c:pt>
                <c:pt idx="24">
                  <c:v>184.31544849963933</c:v>
                </c:pt>
                <c:pt idx="25">
                  <c:v>183.92925878490422</c:v>
                </c:pt>
                <c:pt idx="26">
                  <c:v>183.38667608222926</c:v>
                </c:pt>
                <c:pt idx="27">
                  <c:v>182.70075828332034</c:v>
                </c:pt>
                <c:pt idx="28">
                  <c:v>181.86507994265091</c:v>
                </c:pt>
                <c:pt idx="29">
                  <c:v>180.78414490432615</c:v>
                </c:pt>
                <c:pt idx="30">
                  <c:v>179.99527326074062</c:v>
                </c:pt>
                <c:pt idx="31">
                  <c:v>180.01464024181661</c:v>
                </c:pt>
                <c:pt idx="32">
                  <c:v>180.69582070368054</c:v>
                </c:pt>
                <c:pt idx="33">
                  <c:v>181.44677926980816</c:v>
                </c:pt>
                <c:pt idx="34">
                  <c:v>182.22105758526669</c:v>
                </c:pt>
                <c:pt idx="35">
                  <c:v>183.01900370168016</c:v>
                </c:pt>
                <c:pt idx="36">
                  <c:v>183.8390946752983</c:v>
                </c:pt>
                <c:pt idx="37">
                  <c:v>184.67449948457883</c:v>
                </c:pt>
                <c:pt idx="38">
                  <c:v>185.51460284551885</c:v>
                </c:pt>
                <c:pt idx="39">
                  <c:v>186.3465923619236</c:v>
                </c:pt>
                <c:pt idx="40">
                  <c:v>187.15666537552795</c:v>
                </c:pt>
                <c:pt idx="41">
                  <c:v>187.93089139608477</c:v>
                </c:pt>
                <c:pt idx="42">
                  <c:v>188.65582496856067</c:v>
                </c:pt>
                <c:pt idx="43">
                  <c:v>189.31893943029354</c:v>
                </c:pt>
                <c:pt idx="44">
                  <c:v>189.90892934984092</c:v>
                </c:pt>
                <c:pt idx="45">
                  <c:v>190.41591447709698</c:v>
                </c:pt>
                <c:pt idx="46">
                  <c:v>190.83156684895644</c:v>
                </c:pt>
                <c:pt idx="47">
                  <c:v>191.14918501902235</c:v>
                </c:pt>
                <c:pt idx="48">
                  <c:v>191.36373109982821</c:v>
                </c:pt>
                <c:pt idx="49">
                  <c:v>191.47184427235433</c:v>
                </c:pt>
                <c:pt idx="50">
                  <c:v>191.47184427235433</c:v>
                </c:pt>
                <c:pt idx="51">
                  <c:v>191.36373109982821</c:v>
                </c:pt>
                <c:pt idx="52">
                  <c:v>191.14918501902235</c:v>
                </c:pt>
                <c:pt idx="53">
                  <c:v>190.83156684895644</c:v>
                </c:pt>
                <c:pt idx="54">
                  <c:v>190.41591447709698</c:v>
                </c:pt>
                <c:pt idx="55">
                  <c:v>189.90892934984092</c:v>
                </c:pt>
                <c:pt idx="56">
                  <c:v>189.31893943029354</c:v>
                </c:pt>
                <c:pt idx="57">
                  <c:v>188.65582496856067</c:v>
                </c:pt>
                <c:pt idx="58">
                  <c:v>187.93089139608477</c:v>
                </c:pt>
                <c:pt idx="59">
                  <c:v>187.15666537552795</c:v>
                </c:pt>
                <c:pt idx="60">
                  <c:v>186.3465923619236</c:v>
                </c:pt>
                <c:pt idx="61">
                  <c:v>185.51460284551885</c:v>
                </c:pt>
                <c:pt idx="62">
                  <c:v>184.67449948457883</c:v>
                </c:pt>
                <c:pt idx="63">
                  <c:v>183.8390946752983</c:v>
                </c:pt>
                <c:pt idx="64">
                  <c:v>183.01900370168016</c:v>
                </c:pt>
                <c:pt idx="65">
                  <c:v>182.22105758526669</c:v>
                </c:pt>
                <c:pt idx="66">
                  <c:v>181.44677926980816</c:v>
                </c:pt>
                <c:pt idx="67">
                  <c:v>180.69582070368054</c:v>
                </c:pt>
                <c:pt idx="68">
                  <c:v>180.01464024181661</c:v>
                </c:pt>
                <c:pt idx="69">
                  <c:v>179.99527326074062</c:v>
                </c:pt>
                <c:pt idx="70">
                  <c:v>180.78414490432615</c:v>
                </c:pt>
                <c:pt idx="71">
                  <c:v>181.86507994265091</c:v>
                </c:pt>
                <c:pt idx="72">
                  <c:v>182.70075828332034</c:v>
                </c:pt>
                <c:pt idx="73">
                  <c:v>183.38667608222926</c:v>
                </c:pt>
                <c:pt idx="74">
                  <c:v>183.92925878490422</c:v>
                </c:pt>
                <c:pt idx="75">
                  <c:v>184.31544849963933</c:v>
                </c:pt>
                <c:pt idx="76">
                  <c:v>184.52430242565225</c:v>
                </c:pt>
                <c:pt idx="77">
                  <c:v>184.52979673140021</c:v>
                </c:pt>
                <c:pt idx="78">
                  <c:v>184.30146527869954</c:v>
                </c:pt>
                <c:pt idx="79">
                  <c:v>183.80433018671721</c:v>
                </c:pt>
                <c:pt idx="80">
                  <c:v>182.99855319929242</c:v>
                </c:pt>
                <c:pt idx="81">
                  <c:v>181.83897403716509</c:v>
                </c:pt>
                <c:pt idx="82">
                  <c:v>180.2746214406441</c:v>
                </c:pt>
                <c:pt idx="83">
                  <c:v>178.24825863975323</c:v>
                </c:pt>
                <c:pt idx="84">
                  <c:v>175.6960255699446</c:v>
                </c:pt>
                <c:pt idx="85">
                  <c:v>172.54725235361587</c:v>
                </c:pt>
                <c:pt idx="86">
                  <c:v>168.72453367508174</c:v>
                </c:pt>
                <c:pt idx="87">
                  <c:v>164.14417343250227</c:v>
                </c:pt>
                <c:pt idx="88">
                  <c:v>158.71712778927824</c:v>
                </c:pt>
                <c:pt idx="89">
                  <c:v>152.35058738535628</c:v>
                </c:pt>
                <c:pt idx="90">
                  <c:v>144.95033776930481</c:v>
                </c:pt>
                <c:pt idx="91">
                  <c:v>136.42401187972845</c:v>
                </c:pt>
                <c:pt idx="92">
                  <c:v>126.68529811432859</c:v>
                </c:pt>
                <c:pt idx="93">
                  <c:v>115.65909206046548</c:v>
                </c:pt>
                <c:pt idx="94">
                  <c:v>103.2875621517607</c:v>
                </c:pt>
                <c:pt idx="95">
                  <c:v>89.537521811135591</c:v>
                </c:pt>
                <c:pt idx="96">
                  <c:v>74.412895829072696</c:v>
                </c:pt>
                <c:pt idx="97">
                  <c:v>57.99556612463801</c:v>
                </c:pt>
                <c:pt idx="98">
                  <c:v>40.590533618844368</c:v>
                </c:pt>
                <c:pt idx="99">
                  <c:v>23.624036484653264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7D-432E-9628-1E4C675E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582464"/>
        <c:axId val="1986570944"/>
      </c:scatterChart>
      <c:valAx>
        <c:axId val="198658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6570944"/>
        <c:crosses val="autoZero"/>
        <c:crossBetween val="midCat"/>
        <c:majorUnit val="0.2"/>
      </c:valAx>
      <c:valAx>
        <c:axId val="19865709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[N/m]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6582464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DE SUSTENTAÇÃO DA ASA PELA SEMI-ENVERGADURA COM/SEM ENDPLATE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Força de Sustetenção COM Endplate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CRUZEIRO'!$CI$55:$CI$104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CRUZEIRO'!$CH$55:$CH$104</c:f>
              <c:numCache>
                <c:formatCode>General</c:formatCode>
                <c:ptCount val="50"/>
                <c:pt idx="0">
                  <c:v>202.89955731936257</c:v>
                </c:pt>
                <c:pt idx="1">
                  <c:v>202.79238066136887</c:v>
                </c:pt>
                <c:pt idx="2">
                  <c:v>202.57960229350607</c:v>
                </c:pt>
                <c:pt idx="3">
                  <c:v>202.26438474995817</c:v>
                </c:pt>
                <c:pt idx="4">
                  <c:v>201.85149601839311</c:v>
                </c:pt>
                <c:pt idx="5">
                  <c:v>201.3473266810696</c:v>
                </c:pt>
                <c:pt idx="6">
                  <c:v>200.75989136747316</c:v>
                </c:pt>
                <c:pt idx="7">
                  <c:v>200.09879534368463</c:v>
                </c:pt>
                <c:pt idx="8">
                  <c:v>199.37514720894671</c:v>
                </c:pt>
                <c:pt idx="9">
                  <c:v>198.6013898088151</c:v>
                </c:pt>
                <c:pt idx="10">
                  <c:v>197.79102147427943</c:v>
                </c:pt>
                <c:pt idx="11">
                  <c:v>196.95817344990417</c:v>
                </c:pt>
                <c:pt idx="12">
                  <c:v>196.1169938308332</c:v>
                </c:pt>
                <c:pt idx="13">
                  <c:v>195.28076290736846</c:v>
                </c:pt>
                <c:pt idx="14">
                  <c:v>194.46060990618625</c:v>
                </c:pt>
                <c:pt idx="15">
                  <c:v>193.66367990876674</c:v>
                </c:pt>
                <c:pt idx="16">
                  <c:v>192.89087427584718</c:v>
                </c:pt>
                <c:pt idx="17">
                  <c:v>192.13691732342173</c:v>
                </c:pt>
                <c:pt idx="18">
                  <c:v>191.42210194285468</c:v>
                </c:pt>
                <c:pt idx="19">
                  <c:v>191.16061871823771</c:v>
                </c:pt>
                <c:pt idx="20">
                  <c:v>192.36262400784486</c:v>
                </c:pt>
                <c:pt idx="21">
                  <c:v>193.67046197647056</c:v>
                </c:pt>
                <c:pt idx="22">
                  <c:v>194.70710483090434</c:v>
                </c:pt>
                <c:pt idx="23">
                  <c:v>195.57918637900701</c:v>
                </c:pt>
                <c:pt idx="24">
                  <c:v>196.29756522133815</c:v>
                </c:pt>
                <c:pt idx="25">
                  <c:v>196.85186183674369</c:v>
                </c:pt>
                <c:pt idx="26">
                  <c:v>197.22302751673038</c:v>
                </c:pt>
                <c:pt idx="27">
                  <c:v>197.38641930568912</c:v>
                </c:pt>
                <c:pt idx="28">
                  <c:v>197.31247547670938</c:v>
                </c:pt>
                <c:pt idx="29">
                  <c:v>196.96657767640781</c:v>
                </c:pt>
                <c:pt idx="30">
                  <c:v>196.30857591290371</c:v>
                </c:pt>
                <c:pt idx="31">
                  <c:v>195.29215389908072</c:v>
                </c:pt>
                <c:pt idx="32">
                  <c:v>193.86412452404943</c:v>
                </c:pt>
                <c:pt idx="33">
                  <c:v>191.96371675405621</c:v>
                </c:pt>
                <c:pt idx="34">
                  <c:v>189.52191845988455</c:v>
                </c:pt>
                <c:pt idx="35">
                  <c:v>186.46095230572851</c:v>
                </c:pt>
                <c:pt idx="36">
                  <c:v>182.69398464090625</c:v>
                </c:pt>
                <c:pt idx="37">
                  <c:v>178.12519755061354</c:v>
                </c:pt>
                <c:pt idx="38">
                  <c:v>172.6503851630674</c:v>
                </c:pt>
                <c:pt idx="39">
                  <c:v>166.15827191682152</c:v>
                </c:pt>
                <c:pt idx="40">
                  <c:v>158.53278012581171</c:v>
                </c:pt>
                <c:pt idx="41">
                  <c:v>149.65646996704666</c:v>
                </c:pt>
                <c:pt idx="42">
                  <c:v>139.4153489410381</c:v>
                </c:pt>
                <c:pt idx="43">
                  <c:v>127.70515805309871</c:v>
                </c:pt>
                <c:pt idx="44">
                  <c:v>114.43916121159118</c:v>
                </c:pt>
                <c:pt idx="45">
                  <c:v>99.557649143583959</c:v>
                </c:pt>
                <c:pt idx="46">
                  <c:v>83.041664569503652</c:v>
                </c:pt>
                <c:pt idx="47">
                  <c:v>64.951036474027731</c:v>
                </c:pt>
                <c:pt idx="48">
                  <c:v>45.589643369787296</c:v>
                </c:pt>
                <c:pt idx="49">
                  <c:v>26.574188056921912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FC-46B5-B29F-6E6BE243A0E0}"/>
            </c:ext>
          </c:extLst>
        </c:ser>
        <c:ser>
          <c:idx val="1"/>
          <c:order val="1"/>
          <c:tx>
            <c:v>Força de Sustentação SEM Endplate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'Distrib. ASA INCD. CRUZEIRO'!$CI$55:$CI$104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CRUZEIRO'!$CG$55:$CG$104</c:f>
              <c:numCache>
                <c:formatCode>General</c:formatCode>
                <c:ptCount val="50"/>
                <c:pt idx="0">
                  <c:v>191.47184427235433</c:v>
                </c:pt>
                <c:pt idx="1">
                  <c:v>191.36373109982821</c:v>
                </c:pt>
                <c:pt idx="2">
                  <c:v>191.14918501902235</c:v>
                </c:pt>
                <c:pt idx="3">
                  <c:v>190.83156684895644</c:v>
                </c:pt>
                <c:pt idx="4">
                  <c:v>190.41591447709698</c:v>
                </c:pt>
                <c:pt idx="5">
                  <c:v>189.90892934984092</c:v>
                </c:pt>
                <c:pt idx="6">
                  <c:v>189.31893943029354</c:v>
                </c:pt>
                <c:pt idx="7">
                  <c:v>188.65582496856067</c:v>
                </c:pt>
                <c:pt idx="8">
                  <c:v>187.93089139608477</c:v>
                </c:pt>
                <c:pt idx="9">
                  <c:v>187.15666537552795</c:v>
                </c:pt>
                <c:pt idx="10">
                  <c:v>186.3465923619236</c:v>
                </c:pt>
                <c:pt idx="11">
                  <c:v>185.51460284551885</c:v>
                </c:pt>
                <c:pt idx="12">
                  <c:v>184.67449948457883</c:v>
                </c:pt>
                <c:pt idx="13">
                  <c:v>183.8390946752983</c:v>
                </c:pt>
                <c:pt idx="14">
                  <c:v>183.01900370168016</c:v>
                </c:pt>
                <c:pt idx="15">
                  <c:v>182.22105758526669</c:v>
                </c:pt>
                <c:pt idx="16">
                  <c:v>181.44677926980816</c:v>
                </c:pt>
                <c:pt idx="17">
                  <c:v>180.69582070368054</c:v>
                </c:pt>
                <c:pt idx="18">
                  <c:v>180.01464024181661</c:v>
                </c:pt>
                <c:pt idx="19">
                  <c:v>179.99527326074062</c:v>
                </c:pt>
                <c:pt idx="20">
                  <c:v>180.78414490432615</c:v>
                </c:pt>
                <c:pt idx="21">
                  <c:v>181.86507994265091</c:v>
                </c:pt>
                <c:pt idx="22">
                  <c:v>182.70075828332034</c:v>
                </c:pt>
                <c:pt idx="23">
                  <c:v>183.38667608222926</c:v>
                </c:pt>
                <c:pt idx="24">
                  <c:v>183.92925878490422</c:v>
                </c:pt>
                <c:pt idx="25">
                  <c:v>184.31544849963933</c:v>
                </c:pt>
                <c:pt idx="26">
                  <c:v>184.52430242565225</c:v>
                </c:pt>
                <c:pt idx="27">
                  <c:v>184.52979673140021</c:v>
                </c:pt>
                <c:pt idx="28">
                  <c:v>184.30146527869954</c:v>
                </c:pt>
                <c:pt idx="29">
                  <c:v>183.80433018671721</c:v>
                </c:pt>
                <c:pt idx="30">
                  <c:v>182.99855319929242</c:v>
                </c:pt>
                <c:pt idx="31">
                  <c:v>181.83897403716509</c:v>
                </c:pt>
                <c:pt idx="32">
                  <c:v>180.2746214406441</c:v>
                </c:pt>
                <c:pt idx="33">
                  <c:v>178.24825863975323</c:v>
                </c:pt>
                <c:pt idx="34">
                  <c:v>175.6960255699446</c:v>
                </c:pt>
                <c:pt idx="35">
                  <c:v>172.54725235361587</c:v>
                </c:pt>
                <c:pt idx="36">
                  <c:v>168.72453367508174</c:v>
                </c:pt>
                <c:pt idx="37">
                  <c:v>164.14417343250227</c:v>
                </c:pt>
                <c:pt idx="38">
                  <c:v>158.71712778927824</c:v>
                </c:pt>
                <c:pt idx="39">
                  <c:v>152.35058738535628</c:v>
                </c:pt>
                <c:pt idx="40">
                  <c:v>144.95033776930481</c:v>
                </c:pt>
                <c:pt idx="41">
                  <c:v>136.42401187972845</c:v>
                </c:pt>
                <c:pt idx="42">
                  <c:v>126.68529811432859</c:v>
                </c:pt>
                <c:pt idx="43">
                  <c:v>115.65909206046548</c:v>
                </c:pt>
                <c:pt idx="44">
                  <c:v>103.2875621517607</c:v>
                </c:pt>
                <c:pt idx="45">
                  <c:v>89.537521811135591</c:v>
                </c:pt>
                <c:pt idx="46">
                  <c:v>74.412895829072696</c:v>
                </c:pt>
                <c:pt idx="47">
                  <c:v>57.99556612463801</c:v>
                </c:pt>
                <c:pt idx="48">
                  <c:v>40.590533618844368</c:v>
                </c:pt>
                <c:pt idx="49">
                  <c:v>23.624036484653264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FC-46B5-B29F-6E6BE243A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17600"/>
        <c:axId val="789638720"/>
      </c:scatterChart>
      <c:valAx>
        <c:axId val="78961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38720"/>
        <c:crosses val="autoZero"/>
        <c:crossBetween val="midCat"/>
        <c:majorUnit val="0.1"/>
      </c:valAx>
      <c:valAx>
        <c:axId val="78963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 de Sustentação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176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 vs envergadura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'Distrib. ASA INCD. CRUZEIRO'!$C$6:$C$105</c:f>
              <c:numCache>
                <c:formatCode>0.000000000</c:formatCode>
                <c:ptCount val="100"/>
                <c:pt idx="0">
                  <c:v>-0.875</c:v>
                </c:pt>
                <c:pt idx="1">
                  <c:v>-0.873</c:v>
                </c:pt>
                <c:pt idx="2" formatCode="General">
                  <c:v>-0.87052498489999997</c:v>
                </c:pt>
                <c:pt idx="3" formatCode="General">
                  <c:v>-0.86640603100000002</c:v>
                </c:pt>
                <c:pt idx="4" formatCode="General">
                  <c:v>-0.86093167059999998</c:v>
                </c:pt>
                <c:pt idx="5" formatCode="General">
                  <c:v>-0.85411690829999998</c:v>
                </c:pt>
                <c:pt idx="6" formatCode="General">
                  <c:v>-0.84598042299999998</c:v>
                </c:pt>
                <c:pt idx="7" formatCode="General">
                  <c:v>-0.83654451620000003</c:v>
                </c:pt>
                <c:pt idx="8" formatCode="General">
                  <c:v>-0.82583505099999999</c:v>
                </c:pt>
                <c:pt idx="9" formatCode="General">
                  <c:v>-0.8138813815</c:v>
                </c:pt>
                <c:pt idx="10" formatCode="General">
                  <c:v>-0.80071627170000004</c:v>
                </c:pt>
                <c:pt idx="11" formatCode="General">
                  <c:v>-0.78637580630000004</c:v>
                </c:pt>
                <c:pt idx="12" formatCode="General">
                  <c:v>-0.77089929150000003</c:v>
                </c:pt>
                <c:pt idx="13" formatCode="General">
                  <c:v>-0.75432914750000002</c:v>
                </c:pt>
                <c:pt idx="14" formatCode="General">
                  <c:v>-0.73671079169999998</c:v>
                </c:pt>
                <c:pt idx="15" formatCode="General">
                  <c:v>-0.71809251480000003</c:v>
                </c:pt>
                <c:pt idx="16" formatCode="General">
                  <c:v>-0.69852534840000002</c:v>
                </c:pt>
                <c:pt idx="17" formatCode="General">
                  <c:v>-0.67806292459999995</c:v>
                </c:pt>
                <c:pt idx="18" formatCode="General">
                  <c:v>-0.65676132949999999</c:v>
                </c:pt>
                <c:pt idx="19" formatCode="General">
                  <c:v>-0.63467894930000002</c:v>
                </c:pt>
                <c:pt idx="20" formatCode="General">
                  <c:v>-0.6118763102</c:v>
                </c:pt>
                <c:pt idx="21" formatCode="General">
                  <c:v>-0.58841591280000005</c:v>
                </c:pt>
                <c:pt idx="22" formatCode="General">
                  <c:v>-0.56436206030000002</c:v>
                </c:pt>
                <c:pt idx="23" formatCode="General">
                  <c:v>-0.53978068260000001</c:v>
                </c:pt>
                <c:pt idx="24" formatCode="General">
                  <c:v>-0.51473915569999995</c:v>
                </c:pt>
                <c:pt idx="25" formatCode="General">
                  <c:v>-0.48930611660000001</c:v>
                </c:pt>
                <c:pt idx="26" formatCode="General">
                  <c:v>-0.46355127550000003</c:v>
                </c:pt>
                <c:pt idx="27" formatCode="General">
                  <c:v>-0.4375452246</c:v>
                </c:pt>
                <c:pt idx="28" formatCode="General">
                  <c:v>-0.41135924470000002</c:v>
                </c:pt>
                <c:pt idx="29" formatCode="General">
                  <c:v>-0.38506510980000003</c:v>
                </c:pt>
                <c:pt idx="30" formatCode="General">
                  <c:v>-0.37132677819999999</c:v>
                </c:pt>
                <c:pt idx="31" formatCode="General">
                  <c:v>-0.36903742509999998</c:v>
                </c:pt>
                <c:pt idx="32" formatCode="General">
                  <c:v>-0.36447283359999999</c:v>
                </c:pt>
                <c:pt idx="33" formatCode="General">
                  <c:v>-0.35766114589999998</c:v>
                </c:pt>
                <c:pt idx="34" formatCode="General">
                  <c:v>-0.34864435830000001</c:v>
                </c:pt>
                <c:pt idx="35" formatCode="General">
                  <c:v>-0.33747806219999998</c:v>
                </c:pt>
                <c:pt idx="36" formatCode="General">
                  <c:v>-0.32423110170000002</c:v>
                </c:pt>
                <c:pt idx="37" formatCode="General">
                  <c:v>-0.30898514869999999</c:v>
                </c:pt>
                <c:pt idx="38" formatCode="General">
                  <c:v>-0.29183419939999999</c:v>
                </c:pt>
                <c:pt idx="39" formatCode="General">
                  <c:v>-0.27288399530000002</c:v>
                </c:pt>
                <c:pt idx="40" formatCode="General">
                  <c:v>-0.25225137050000002</c:v>
                </c:pt>
                <c:pt idx="41" formatCode="General">
                  <c:v>-0.23006353230000001</c:v>
                </c:pt>
                <c:pt idx="42" formatCode="General">
                  <c:v>-0.20645727580000001</c:v>
                </c:pt>
                <c:pt idx="43" formatCode="General">
                  <c:v>-0.18157814150000001</c:v>
                </c:pt>
                <c:pt idx="44" formatCode="General">
                  <c:v>-0.1555795177</c:v>
                </c:pt>
                <c:pt idx="45" formatCode="General">
                  <c:v>-0.12862169439999999</c:v>
                </c:pt>
                <c:pt idx="46" formatCode="General">
                  <c:v>-0.1008708755</c:v>
                </c:pt>
                <c:pt idx="47" formatCode="General">
                  <c:v>-7.2498154179999996E-2</c:v>
                </c:pt>
                <c:pt idx="48" formatCode="General">
                  <c:v>-4.367845762E-2</c:v>
                </c:pt>
                <c:pt idx="49" formatCode="General">
                  <c:v>-1.458946885E-2</c:v>
                </c:pt>
                <c:pt idx="50" formatCode="General">
                  <c:v>1.458946885E-2</c:v>
                </c:pt>
                <c:pt idx="51" formatCode="General">
                  <c:v>4.367845762E-2</c:v>
                </c:pt>
                <c:pt idx="52" formatCode="General">
                  <c:v>7.2498154179999996E-2</c:v>
                </c:pt>
                <c:pt idx="53" formatCode="General">
                  <c:v>0.1008708755</c:v>
                </c:pt>
                <c:pt idx="54" formatCode="General">
                  <c:v>0.12862169439999999</c:v>
                </c:pt>
                <c:pt idx="55" formatCode="General">
                  <c:v>0.1555795177</c:v>
                </c:pt>
                <c:pt idx="56" formatCode="General">
                  <c:v>0.18157814150000001</c:v>
                </c:pt>
                <c:pt idx="57" formatCode="General">
                  <c:v>0.20645727580000001</c:v>
                </c:pt>
                <c:pt idx="58" formatCode="General">
                  <c:v>0.23006353230000001</c:v>
                </c:pt>
                <c:pt idx="59" formatCode="General">
                  <c:v>0.25225137050000002</c:v>
                </c:pt>
                <c:pt idx="60" formatCode="General">
                  <c:v>0.27288399530000002</c:v>
                </c:pt>
                <c:pt idx="61" formatCode="General">
                  <c:v>0.29183419939999999</c:v>
                </c:pt>
                <c:pt idx="62" formatCode="General">
                  <c:v>0.30898514869999999</c:v>
                </c:pt>
                <c:pt idx="63" formatCode="General">
                  <c:v>0.32423110170000002</c:v>
                </c:pt>
                <c:pt idx="64" formatCode="General">
                  <c:v>0.33747806219999998</c:v>
                </c:pt>
                <c:pt idx="65" formatCode="General">
                  <c:v>0.34864435830000001</c:v>
                </c:pt>
                <c:pt idx="66" formatCode="General">
                  <c:v>0.35766114589999998</c:v>
                </c:pt>
                <c:pt idx="67" formatCode="General">
                  <c:v>0.36447283359999999</c:v>
                </c:pt>
                <c:pt idx="68" formatCode="General">
                  <c:v>0.36903742509999998</c:v>
                </c:pt>
                <c:pt idx="69" formatCode="General">
                  <c:v>0.37132677819999999</c:v>
                </c:pt>
                <c:pt idx="70" formatCode="General">
                  <c:v>0.38506510980000003</c:v>
                </c:pt>
                <c:pt idx="71" formatCode="General">
                  <c:v>0.41135924470000002</c:v>
                </c:pt>
                <c:pt idx="72" formatCode="General">
                  <c:v>0.4375452246</c:v>
                </c:pt>
                <c:pt idx="73" formatCode="General">
                  <c:v>0.46355127550000003</c:v>
                </c:pt>
                <c:pt idx="74" formatCode="General">
                  <c:v>0.48930611660000001</c:v>
                </c:pt>
                <c:pt idx="75" formatCode="General">
                  <c:v>0.51473915569999995</c:v>
                </c:pt>
                <c:pt idx="76" formatCode="General">
                  <c:v>0.53978068260000001</c:v>
                </c:pt>
                <c:pt idx="77" formatCode="General">
                  <c:v>0.56436206030000002</c:v>
                </c:pt>
                <c:pt idx="78" formatCode="General">
                  <c:v>0.58841591280000005</c:v>
                </c:pt>
                <c:pt idx="79" formatCode="General">
                  <c:v>0.6118763102</c:v>
                </c:pt>
                <c:pt idx="80" formatCode="General">
                  <c:v>0.63467894930000002</c:v>
                </c:pt>
                <c:pt idx="81" formatCode="General">
                  <c:v>0.65676132949999999</c:v>
                </c:pt>
                <c:pt idx="82" formatCode="General">
                  <c:v>0.67806292459999995</c:v>
                </c:pt>
                <c:pt idx="83" formatCode="General">
                  <c:v>0.69852534840000002</c:v>
                </c:pt>
                <c:pt idx="84" formatCode="General">
                  <c:v>0.71809251480000003</c:v>
                </c:pt>
                <c:pt idx="85" formatCode="General">
                  <c:v>0.73671079169999998</c:v>
                </c:pt>
                <c:pt idx="86" formatCode="General">
                  <c:v>0.75432914750000002</c:v>
                </c:pt>
                <c:pt idx="87" formatCode="General">
                  <c:v>0.77089929150000003</c:v>
                </c:pt>
                <c:pt idx="88" formatCode="General">
                  <c:v>0.78637580630000004</c:v>
                </c:pt>
                <c:pt idx="89" formatCode="General">
                  <c:v>0.80071627170000004</c:v>
                </c:pt>
                <c:pt idx="90" formatCode="General">
                  <c:v>0.8138813815</c:v>
                </c:pt>
                <c:pt idx="91" formatCode="General">
                  <c:v>0.82583505099999999</c:v>
                </c:pt>
                <c:pt idx="92" formatCode="General">
                  <c:v>0.83654451620000003</c:v>
                </c:pt>
                <c:pt idx="93" formatCode="General">
                  <c:v>0.84598042299999998</c:v>
                </c:pt>
                <c:pt idx="94" formatCode="General">
                  <c:v>0.85411690829999998</c:v>
                </c:pt>
                <c:pt idx="95" formatCode="General">
                  <c:v>0.86093167059999998</c:v>
                </c:pt>
                <c:pt idx="96" formatCode="General">
                  <c:v>0.86640603100000002</c:v>
                </c:pt>
                <c:pt idx="97" formatCode="General">
                  <c:v>0.87052498489999997</c:v>
                </c:pt>
                <c:pt idx="98">
                  <c:v>0.873</c:v>
                </c:pt>
                <c:pt idx="99">
                  <c:v>0.875</c:v>
                </c:pt>
              </c:numCache>
            </c:numRef>
          </c:xVal>
          <c:yVal>
            <c:numRef>
              <c:f>'Distrib. ASA INCD. CRUZEIRO'!$H$6:$H$105</c:f>
              <c:numCache>
                <c:formatCode>0.0000000</c:formatCode>
                <c:ptCount val="100"/>
                <c:pt idx="0">
                  <c:v>2.0100000000000001E-5</c:v>
                </c:pt>
                <c:pt idx="1">
                  <c:v>1.01E-4</c:v>
                </c:pt>
                <c:pt idx="2">
                  <c:v>2.7571036299999999E-4</c:v>
                </c:pt>
                <c:pt idx="3">
                  <c:v>5.7099323510000001E-4</c:v>
                </c:pt>
                <c:pt idx="4">
                  <c:v>1.006238337E-3</c:v>
                </c:pt>
                <c:pt idx="5">
                  <c:v>1.5973435559999999E-3</c:v>
                </c:pt>
                <c:pt idx="6">
                  <c:v>2.3589428319999999E-3</c:v>
                </c:pt>
                <c:pt idx="7">
                  <c:v>3.3058759419999999E-3</c:v>
                </c:pt>
                <c:pt idx="8">
                  <c:v>4.4540460560000003E-3</c:v>
                </c:pt>
                <c:pt idx="9">
                  <c:v>5.8209167100000004E-3</c:v>
                </c:pt>
                <c:pt idx="10">
                  <c:v>7.425777899E-3</c:v>
                </c:pt>
                <c:pt idx="11">
                  <c:v>9.2898586649999993E-3</c:v>
                </c:pt>
                <c:pt idx="12">
                  <c:v>1.1436331900000001E-2</c:v>
                </c:pt>
                <c:pt idx="13">
                  <c:v>1.3890235399999999E-2</c:v>
                </c:pt>
                <c:pt idx="14">
                  <c:v>1.6678319699999999E-2</c:v>
                </c:pt>
                <c:pt idx="15">
                  <c:v>1.9828826130000001E-2</c:v>
                </c:pt>
                <c:pt idx="16">
                  <c:v>2.3371196059999998E-2</c:v>
                </c:pt>
                <c:pt idx="17">
                  <c:v>2.733571139E-2</c:v>
                </c:pt>
                <c:pt idx="18">
                  <c:v>3.1753066920000003E-2</c:v>
                </c:pt>
                <c:pt idx="19">
                  <c:v>3.6653875379999999E-2</c:v>
                </c:pt>
                <c:pt idx="20">
                  <c:v>4.2068105590000002E-2</c:v>
                </c:pt>
                <c:pt idx="21">
                  <c:v>4.8024452619999998E-2</c:v>
                </c:pt>
                <c:pt idx="22">
                  <c:v>5.4549634569999998E-2</c:v>
                </c:pt>
                <c:pt idx="23">
                  <c:v>6.1667601010000003E-2</c:v>
                </c:pt>
                <c:pt idx="24">
                  <c:v>6.9398616220000001E-2</c:v>
                </c:pt>
                <c:pt idx="25">
                  <c:v>7.7758129359999997E-2</c:v>
                </c:pt>
                <c:pt idx="26">
                  <c:v>8.6755211090000006E-2</c:v>
                </c:pt>
                <c:pt idx="27">
                  <c:v>9.6389927419999993E-2</c:v>
                </c:pt>
                <c:pt idx="28">
                  <c:v>0.1066473203</c:v>
                </c:pt>
                <c:pt idx="29">
                  <c:v>0.1174711058</c:v>
                </c:pt>
                <c:pt idx="30">
                  <c:v>0.1174711058</c:v>
                </c:pt>
                <c:pt idx="31">
                  <c:v>0.1174711058</c:v>
                </c:pt>
                <c:pt idx="32">
                  <c:v>0.1174711058</c:v>
                </c:pt>
                <c:pt idx="33">
                  <c:v>0.1174711058</c:v>
                </c:pt>
                <c:pt idx="34">
                  <c:v>0.1174711058</c:v>
                </c:pt>
                <c:pt idx="35">
                  <c:v>0.1174711058</c:v>
                </c:pt>
                <c:pt idx="36">
                  <c:v>0.1174711058</c:v>
                </c:pt>
                <c:pt idx="37">
                  <c:v>0.1174711058</c:v>
                </c:pt>
                <c:pt idx="38">
                  <c:v>0.1174711058</c:v>
                </c:pt>
                <c:pt idx="39">
                  <c:v>0.1174711058</c:v>
                </c:pt>
                <c:pt idx="40">
                  <c:v>0.1174711058</c:v>
                </c:pt>
                <c:pt idx="41">
                  <c:v>0.1174711058</c:v>
                </c:pt>
                <c:pt idx="42">
                  <c:v>0.1174711058</c:v>
                </c:pt>
                <c:pt idx="43">
                  <c:v>0.1174711058</c:v>
                </c:pt>
                <c:pt idx="44">
                  <c:v>0.1174711058</c:v>
                </c:pt>
                <c:pt idx="45">
                  <c:v>0.1174711058</c:v>
                </c:pt>
                <c:pt idx="46">
                  <c:v>0.1174711058</c:v>
                </c:pt>
                <c:pt idx="47">
                  <c:v>0.1174711058</c:v>
                </c:pt>
                <c:pt idx="48">
                  <c:v>0.1174711058</c:v>
                </c:pt>
                <c:pt idx="49">
                  <c:v>0.1174711058</c:v>
                </c:pt>
                <c:pt idx="50">
                  <c:v>0.1174711058</c:v>
                </c:pt>
                <c:pt idx="51">
                  <c:v>0.1174711058</c:v>
                </c:pt>
                <c:pt idx="52">
                  <c:v>0.1174711058</c:v>
                </c:pt>
                <c:pt idx="53">
                  <c:v>0.1174711058</c:v>
                </c:pt>
                <c:pt idx="54">
                  <c:v>0.1174711058</c:v>
                </c:pt>
                <c:pt idx="55">
                  <c:v>0.1174711058</c:v>
                </c:pt>
                <c:pt idx="56">
                  <c:v>0.1174711058</c:v>
                </c:pt>
                <c:pt idx="57">
                  <c:v>0.1174711058</c:v>
                </c:pt>
                <c:pt idx="58">
                  <c:v>0.1174711058</c:v>
                </c:pt>
                <c:pt idx="59">
                  <c:v>0.1174711058</c:v>
                </c:pt>
                <c:pt idx="60">
                  <c:v>0.1174711058</c:v>
                </c:pt>
                <c:pt idx="61">
                  <c:v>0.1174711058</c:v>
                </c:pt>
                <c:pt idx="62">
                  <c:v>0.1174711058</c:v>
                </c:pt>
                <c:pt idx="63">
                  <c:v>0.1174711058</c:v>
                </c:pt>
                <c:pt idx="64">
                  <c:v>0.1174711058</c:v>
                </c:pt>
                <c:pt idx="65">
                  <c:v>0.1174711058</c:v>
                </c:pt>
                <c:pt idx="66">
                  <c:v>0.1174711058</c:v>
                </c:pt>
                <c:pt idx="67">
                  <c:v>0.1174711058</c:v>
                </c:pt>
                <c:pt idx="68">
                  <c:v>0.1174711058</c:v>
                </c:pt>
                <c:pt idx="69">
                  <c:v>0.1174711058</c:v>
                </c:pt>
                <c:pt idx="70">
                  <c:v>0.1174711058</c:v>
                </c:pt>
                <c:pt idx="71">
                  <c:v>0.1066473203</c:v>
                </c:pt>
                <c:pt idx="72">
                  <c:v>9.6389927419999993E-2</c:v>
                </c:pt>
                <c:pt idx="73">
                  <c:v>8.6755211090000006E-2</c:v>
                </c:pt>
                <c:pt idx="74">
                  <c:v>7.7758129359999997E-2</c:v>
                </c:pt>
                <c:pt idx="75">
                  <c:v>6.9398616220000001E-2</c:v>
                </c:pt>
                <c:pt idx="76">
                  <c:v>6.1667601010000003E-2</c:v>
                </c:pt>
                <c:pt idx="77">
                  <c:v>5.4549634569999998E-2</c:v>
                </c:pt>
                <c:pt idx="78">
                  <c:v>4.8024452619999998E-2</c:v>
                </c:pt>
                <c:pt idx="79">
                  <c:v>4.2068105590000002E-2</c:v>
                </c:pt>
                <c:pt idx="80">
                  <c:v>3.6653875379999999E-2</c:v>
                </c:pt>
                <c:pt idx="81">
                  <c:v>3.1753066920000003E-2</c:v>
                </c:pt>
                <c:pt idx="82">
                  <c:v>2.733571139E-2</c:v>
                </c:pt>
                <c:pt idx="83">
                  <c:v>2.3371196059999998E-2</c:v>
                </c:pt>
                <c:pt idx="84">
                  <c:v>1.9828826130000001E-2</c:v>
                </c:pt>
                <c:pt idx="85">
                  <c:v>1.6678319699999999E-2</c:v>
                </c:pt>
                <c:pt idx="86">
                  <c:v>1.3890235399999999E-2</c:v>
                </c:pt>
                <c:pt idx="87">
                  <c:v>1.1436331900000001E-2</c:v>
                </c:pt>
                <c:pt idx="88">
                  <c:v>9.2898586649999993E-3</c:v>
                </c:pt>
                <c:pt idx="89">
                  <c:v>7.425777899E-3</c:v>
                </c:pt>
                <c:pt idx="90">
                  <c:v>5.8209167100000004E-3</c:v>
                </c:pt>
                <c:pt idx="91">
                  <c:v>4.4540460560000003E-3</c:v>
                </c:pt>
                <c:pt idx="92">
                  <c:v>3.3058759419999999E-3</c:v>
                </c:pt>
                <c:pt idx="93">
                  <c:v>2.3589428319999999E-3</c:v>
                </c:pt>
                <c:pt idx="94">
                  <c:v>1.5973435559999999E-3</c:v>
                </c:pt>
                <c:pt idx="95">
                  <c:v>1.006238337E-3</c:v>
                </c:pt>
                <c:pt idx="96">
                  <c:v>5.7099323510000001E-4</c:v>
                </c:pt>
                <c:pt idx="97">
                  <c:v>2.7571036299999999E-4</c:v>
                </c:pt>
                <c:pt idx="98">
                  <c:v>1.01E-4</c:v>
                </c:pt>
                <c:pt idx="99">
                  <c:v>2.0100000000000001E-5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3-49DD-992B-92D6727E7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12832"/>
        <c:axId val="762197952"/>
      </c:scatterChart>
      <c:valAx>
        <c:axId val="7622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197952"/>
        <c:crosses val="autoZero"/>
        <c:crossBetween val="midCat"/>
        <c:majorUnit val="0.2"/>
      </c:valAx>
      <c:valAx>
        <c:axId val="7621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Momento</a:t>
                </a:r>
                <a:r>
                  <a:rPr lang="en-US" baseline="0"/>
                  <a:t> Torsor [N.m]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21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</a:t>
            </a:r>
            <a:r>
              <a:rPr lang="pt-BR" baseline="0"/>
              <a:t>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268030928571789E-2"/>
                  <c:y val="-0.556926880592473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CRUZEIRO'!$C$56:$C$105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 formatCode="0.000000000">
                  <c:v>0.873</c:v>
                </c:pt>
                <c:pt idx="49" formatCode="0.000000000">
                  <c:v>0.875</c:v>
                </c:pt>
              </c:numCache>
            </c:numRef>
          </c:xVal>
          <c:yVal>
            <c:numRef>
              <c:f>'Distrib. ASA INCD. CRUZEIRO'!$H$56:$H$105</c:f>
              <c:numCache>
                <c:formatCode>0.0000000</c:formatCode>
                <c:ptCount val="50"/>
                <c:pt idx="0">
                  <c:v>0.1174711058</c:v>
                </c:pt>
                <c:pt idx="1">
                  <c:v>0.1174711058</c:v>
                </c:pt>
                <c:pt idx="2">
                  <c:v>0.1174711058</c:v>
                </c:pt>
                <c:pt idx="3">
                  <c:v>0.1174711058</c:v>
                </c:pt>
                <c:pt idx="4">
                  <c:v>0.1174711058</c:v>
                </c:pt>
                <c:pt idx="5">
                  <c:v>0.1174711058</c:v>
                </c:pt>
                <c:pt idx="6">
                  <c:v>0.1174711058</c:v>
                </c:pt>
                <c:pt idx="7">
                  <c:v>0.1174711058</c:v>
                </c:pt>
                <c:pt idx="8">
                  <c:v>0.1174711058</c:v>
                </c:pt>
                <c:pt idx="9">
                  <c:v>0.1174711058</c:v>
                </c:pt>
                <c:pt idx="10">
                  <c:v>0.1174711058</c:v>
                </c:pt>
                <c:pt idx="11">
                  <c:v>0.1174711058</c:v>
                </c:pt>
                <c:pt idx="12">
                  <c:v>0.1174711058</c:v>
                </c:pt>
                <c:pt idx="13">
                  <c:v>0.1174711058</c:v>
                </c:pt>
                <c:pt idx="14">
                  <c:v>0.1174711058</c:v>
                </c:pt>
                <c:pt idx="15">
                  <c:v>0.1174711058</c:v>
                </c:pt>
                <c:pt idx="16">
                  <c:v>0.1174711058</c:v>
                </c:pt>
                <c:pt idx="17">
                  <c:v>0.1174711058</c:v>
                </c:pt>
                <c:pt idx="18">
                  <c:v>0.1174711058</c:v>
                </c:pt>
                <c:pt idx="19">
                  <c:v>0.1174711058</c:v>
                </c:pt>
                <c:pt idx="20">
                  <c:v>0.1174711058</c:v>
                </c:pt>
                <c:pt idx="21">
                  <c:v>0.1066473203</c:v>
                </c:pt>
                <c:pt idx="22">
                  <c:v>9.6389927419999993E-2</c:v>
                </c:pt>
                <c:pt idx="23">
                  <c:v>8.6755211090000006E-2</c:v>
                </c:pt>
                <c:pt idx="24">
                  <c:v>7.7758129359999997E-2</c:v>
                </c:pt>
                <c:pt idx="25">
                  <c:v>6.9398616220000001E-2</c:v>
                </c:pt>
                <c:pt idx="26">
                  <c:v>6.1667601010000003E-2</c:v>
                </c:pt>
                <c:pt idx="27">
                  <c:v>5.4549634569999998E-2</c:v>
                </c:pt>
                <c:pt idx="28">
                  <c:v>4.8024452619999998E-2</c:v>
                </c:pt>
                <c:pt idx="29">
                  <c:v>4.2068105590000002E-2</c:v>
                </c:pt>
                <c:pt idx="30">
                  <c:v>3.6653875379999999E-2</c:v>
                </c:pt>
                <c:pt idx="31">
                  <c:v>3.1753066920000003E-2</c:v>
                </c:pt>
                <c:pt idx="32">
                  <c:v>2.733571139E-2</c:v>
                </c:pt>
                <c:pt idx="33">
                  <c:v>2.3371196059999998E-2</c:v>
                </c:pt>
                <c:pt idx="34">
                  <c:v>1.9828826130000001E-2</c:v>
                </c:pt>
                <c:pt idx="35">
                  <c:v>1.6678319699999999E-2</c:v>
                </c:pt>
                <c:pt idx="36">
                  <c:v>1.3890235399999999E-2</c:v>
                </c:pt>
                <c:pt idx="37">
                  <c:v>1.1436331900000001E-2</c:v>
                </c:pt>
                <c:pt idx="38">
                  <c:v>9.2898586649999993E-3</c:v>
                </c:pt>
                <c:pt idx="39">
                  <c:v>7.425777899E-3</c:v>
                </c:pt>
                <c:pt idx="40">
                  <c:v>5.8209167100000004E-3</c:v>
                </c:pt>
                <c:pt idx="41">
                  <c:v>4.4540460560000003E-3</c:v>
                </c:pt>
                <c:pt idx="42">
                  <c:v>3.3058759419999999E-3</c:v>
                </c:pt>
                <c:pt idx="43">
                  <c:v>2.3589428319999999E-3</c:v>
                </c:pt>
                <c:pt idx="44">
                  <c:v>1.5973435559999999E-3</c:v>
                </c:pt>
                <c:pt idx="45">
                  <c:v>1.006238337E-3</c:v>
                </c:pt>
                <c:pt idx="46">
                  <c:v>5.7099323510000001E-4</c:v>
                </c:pt>
                <c:pt idx="47">
                  <c:v>2.7571036299999999E-4</c:v>
                </c:pt>
                <c:pt idx="48">
                  <c:v>1.01E-4</c:v>
                </c:pt>
                <c:pt idx="49">
                  <c:v>2.0100000000000001E-5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6C-4094-8387-6A99963CC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22400"/>
        <c:axId val="789626240"/>
      </c:scatterChart>
      <c:valAx>
        <c:axId val="7896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6240"/>
        <c:crosses val="autoZero"/>
        <c:crossBetween val="midCat"/>
      </c:valAx>
      <c:valAx>
        <c:axId val="7896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 vs envergadura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'Distrib. ASA INCD. CRUZEIRO'!$AO$6:$AO$105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CRUZEIRO'!$AT$6:$AT$105</c:f>
              <c:numCache>
                <c:formatCode>0.0000000000</c:formatCode>
                <c:ptCount val="100"/>
                <c:pt idx="0">
                  <c:v>1.0499999999999999E-5</c:v>
                </c:pt>
                <c:pt idx="1">
                  <c:v>5.4599999999999999E-5</c:v>
                </c:pt>
                <c:pt idx="2">
                  <c:v>1.512124914E-4</c:v>
                </c:pt>
                <c:pt idx="3">
                  <c:v>3.1380537260000002E-4</c:v>
                </c:pt>
                <c:pt idx="4">
                  <c:v>5.5198500089999997E-4</c:v>
                </c:pt>
                <c:pt idx="5">
                  <c:v>8.7346443140000004E-4</c:v>
                </c:pt>
                <c:pt idx="6">
                  <c:v>1.2854225189999999E-3</c:v>
                </c:pt>
                <c:pt idx="7">
                  <c:v>1.7952598409999999E-3</c:v>
                </c:pt>
                <c:pt idx="8">
                  <c:v>2.4110278300000002E-3</c:v>
                </c:pt>
                <c:pt idx="9">
                  <c:v>3.141668282E-3</c:v>
                </c:pt>
                <c:pt idx="10">
                  <c:v>3.9971377870000003E-3</c:v>
                </c:pt>
                <c:pt idx="11">
                  <c:v>4.9884595300000003E-3</c:v>
                </c:pt>
                <c:pt idx="12">
                  <c:v>6.1277239420000004E-3</c:v>
                </c:pt>
                <c:pt idx="13">
                  <c:v>7.4280473290000001E-3</c:v>
                </c:pt>
                <c:pt idx="14">
                  <c:v>8.9034916330000009E-3</c:v>
                </c:pt>
                <c:pt idx="15">
                  <c:v>1.056894643E-2</c:v>
                </c:pt>
                <c:pt idx="16">
                  <c:v>1.243997388E-2</c:v>
                </c:pt>
                <c:pt idx="17">
                  <c:v>1.453261743E-2</c:v>
                </c:pt>
                <c:pt idx="18">
                  <c:v>1.686317516E-2</c:v>
                </c:pt>
                <c:pt idx="19">
                  <c:v>1.9447938750000001E-2</c:v>
                </c:pt>
                <c:pt idx="20">
                  <c:v>2.2302898370000001E-2</c:v>
                </c:pt>
                <c:pt idx="21">
                  <c:v>2.544341348E-2</c:v>
                </c:pt>
                <c:pt idx="22">
                  <c:v>2.888384695E-2</c:v>
                </c:pt>
                <c:pt idx="23">
                  <c:v>3.2637155760000001E-2</c:v>
                </c:pt>
                <c:pt idx="24">
                  <c:v>3.6714420060000003E-2</c:v>
                </c:pt>
                <c:pt idx="25">
                  <c:v>4.1124266120000003E-2</c:v>
                </c:pt>
                <c:pt idx="26">
                  <c:v>4.5872067789999998E-2</c:v>
                </c:pt>
                <c:pt idx="27">
                  <c:v>5.0958592140000002E-2</c:v>
                </c:pt>
                <c:pt idx="28">
                  <c:v>5.6376858580000001E-2</c:v>
                </c:pt>
                <c:pt idx="29">
                  <c:v>6.2099282309999997E-2</c:v>
                </c:pt>
                <c:pt idx="30">
                  <c:v>6.2099282309999997E-2</c:v>
                </c:pt>
                <c:pt idx="31">
                  <c:v>6.2099282309999997E-2</c:v>
                </c:pt>
                <c:pt idx="32">
                  <c:v>6.2099282309999997E-2</c:v>
                </c:pt>
                <c:pt idx="33">
                  <c:v>6.2099282309999997E-2</c:v>
                </c:pt>
                <c:pt idx="34">
                  <c:v>6.2099282309999997E-2</c:v>
                </c:pt>
                <c:pt idx="35">
                  <c:v>6.2099282309999997E-2</c:v>
                </c:pt>
                <c:pt idx="36">
                  <c:v>6.2099282309999997E-2</c:v>
                </c:pt>
                <c:pt idx="37">
                  <c:v>6.2099282309999997E-2</c:v>
                </c:pt>
                <c:pt idx="38">
                  <c:v>6.2099282309999997E-2</c:v>
                </c:pt>
                <c:pt idx="39">
                  <c:v>6.2099282309999997E-2</c:v>
                </c:pt>
                <c:pt idx="40">
                  <c:v>6.2099282309999997E-2</c:v>
                </c:pt>
                <c:pt idx="41">
                  <c:v>6.2099282309999997E-2</c:v>
                </c:pt>
                <c:pt idx="42">
                  <c:v>6.2099282309999997E-2</c:v>
                </c:pt>
                <c:pt idx="43">
                  <c:v>6.2099282309999997E-2</c:v>
                </c:pt>
                <c:pt idx="44">
                  <c:v>6.2099282309999997E-2</c:v>
                </c:pt>
                <c:pt idx="45">
                  <c:v>6.2099282309999997E-2</c:v>
                </c:pt>
                <c:pt idx="46">
                  <c:v>6.2099282309999997E-2</c:v>
                </c:pt>
                <c:pt idx="47">
                  <c:v>6.2099282309999997E-2</c:v>
                </c:pt>
                <c:pt idx="48">
                  <c:v>6.2099282309999997E-2</c:v>
                </c:pt>
                <c:pt idx="49">
                  <c:v>6.2099282309999997E-2</c:v>
                </c:pt>
                <c:pt idx="50">
                  <c:v>6.2099282309999997E-2</c:v>
                </c:pt>
                <c:pt idx="51">
                  <c:v>6.2099282309999997E-2</c:v>
                </c:pt>
                <c:pt idx="52">
                  <c:v>6.2099282309999997E-2</c:v>
                </c:pt>
                <c:pt idx="53">
                  <c:v>6.2099282309999997E-2</c:v>
                </c:pt>
                <c:pt idx="54">
                  <c:v>6.2099282309999997E-2</c:v>
                </c:pt>
                <c:pt idx="55">
                  <c:v>6.2099282309999997E-2</c:v>
                </c:pt>
                <c:pt idx="56">
                  <c:v>6.2099282309999997E-2</c:v>
                </c:pt>
                <c:pt idx="57">
                  <c:v>6.2099282309999997E-2</c:v>
                </c:pt>
                <c:pt idx="58">
                  <c:v>6.2099282309999997E-2</c:v>
                </c:pt>
                <c:pt idx="59">
                  <c:v>6.2099282309999997E-2</c:v>
                </c:pt>
                <c:pt idx="60">
                  <c:v>6.2099282309999997E-2</c:v>
                </c:pt>
                <c:pt idx="61">
                  <c:v>6.2099282309999997E-2</c:v>
                </c:pt>
                <c:pt idx="62">
                  <c:v>6.2099282309999997E-2</c:v>
                </c:pt>
                <c:pt idx="63">
                  <c:v>6.2099282309999997E-2</c:v>
                </c:pt>
                <c:pt idx="64">
                  <c:v>6.2099282309999997E-2</c:v>
                </c:pt>
                <c:pt idx="65">
                  <c:v>6.2099282309999997E-2</c:v>
                </c:pt>
                <c:pt idx="66">
                  <c:v>6.2099282309999997E-2</c:v>
                </c:pt>
                <c:pt idx="67">
                  <c:v>6.2099282309999997E-2</c:v>
                </c:pt>
                <c:pt idx="68">
                  <c:v>6.2099282309999997E-2</c:v>
                </c:pt>
                <c:pt idx="69">
                  <c:v>6.2099282309999997E-2</c:v>
                </c:pt>
                <c:pt idx="70">
                  <c:v>6.2099282309999997E-2</c:v>
                </c:pt>
                <c:pt idx="71">
                  <c:v>5.6376858580000001E-2</c:v>
                </c:pt>
                <c:pt idx="72">
                  <c:v>5.0958592140000002E-2</c:v>
                </c:pt>
                <c:pt idx="73">
                  <c:v>4.5872067789999998E-2</c:v>
                </c:pt>
                <c:pt idx="74">
                  <c:v>4.1124266120000003E-2</c:v>
                </c:pt>
                <c:pt idx="75">
                  <c:v>3.6714420060000003E-2</c:v>
                </c:pt>
                <c:pt idx="76">
                  <c:v>3.2637155760000001E-2</c:v>
                </c:pt>
                <c:pt idx="77">
                  <c:v>2.888384695E-2</c:v>
                </c:pt>
                <c:pt idx="78">
                  <c:v>2.544341348E-2</c:v>
                </c:pt>
                <c:pt idx="79">
                  <c:v>2.2302898370000001E-2</c:v>
                </c:pt>
                <c:pt idx="80">
                  <c:v>1.9447938750000001E-2</c:v>
                </c:pt>
                <c:pt idx="81">
                  <c:v>1.686317516E-2</c:v>
                </c:pt>
                <c:pt idx="82">
                  <c:v>1.453261743E-2</c:v>
                </c:pt>
                <c:pt idx="83">
                  <c:v>1.243997388E-2</c:v>
                </c:pt>
                <c:pt idx="84">
                  <c:v>1.056894643E-2</c:v>
                </c:pt>
                <c:pt idx="85">
                  <c:v>8.9034916330000009E-3</c:v>
                </c:pt>
                <c:pt idx="86">
                  <c:v>7.4280473290000001E-3</c:v>
                </c:pt>
                <c:pt idx="87">
                  <c:v>6.1277239420000004E-3</c:v>
                </c:pt>
                <c:pt idx="88">
                  <c:v>4.9884595300000003E-3</c:v>
                </c:pt>
                <c:pt idx="89">
                  <c:v>3.9971377870000003E-3</c:v>
                </c:pt>
                <c:pt idx="90">
                  <c:v>3.141668282E-3</c:v>
                </c:pt>
                <c:pt idx="91">
                  <c:v>2.4110278300000002E-3</c:v>
                </c:pt>
                <c:pt idx="92">
                  <c:v>1.7952598409999999E-3</c:v>
                </c:pt>
                <c:pt idx="93">
                  <c:v>1.2854225189999999E-3</c:v>
                </c:pt>
                <c:pt idx="94">
                  <c:v>8.7346443140000004E-4</c:v>
                </c:pt>
                <c:pt idx="95">
                  <c:v>5.5198500089999997E-4</c:v>
                </c:pt>
                <c:pt idx="96">
                  <c:v>3.1380537260000002E-4</c:v>
                </c:pt>
                <c:pt idx="97">
                  <c:v>1.512124914E-4</c:v>
                </c:pt>
                <c:pt idx="98">
                  <c:v>5.4599999999999999E-5</c:v>
                </c:pt>
                <c:pt idx="99">
                  <c:v>1.0499999999999999E-5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1E-4153-8B7A-7F71C21E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12832"/>
        <c:axId val="762197952"/>
      </c:scatterChart>
      <c:valAx>
        <c:axId val="7622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197952"/>
        <c:crosses val="autoZero"/>
        <c:crossBetween val="midCat"/>
        <c:majorUnit val="0.2"/>
      </c:valAx>
      <c:valAx>
        <c:axId val="7621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Momento</a:t>
                </a:r>
                <a:r>
                  <a:rPr lang="en-US" baseline="0"/>
                  <a:t> Torsor [N.m]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21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</a:t>
            </a:r>
            <a:r>
              <a:rPr lang="pt-BR" baseline="0"/>
              <a:t>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2.5903408848500363E-2"/>
                  <c:y val="-0.554998264571587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CRUZEIRO'!$AO$56:$AO$105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CRUZEIRO'!$AT$56:$AT$105</c:f>
              <c:numCache>
                <c:formatCode>0.0000000000</c:formatCode>
                <c:ptCount val="50"/>
                <c:pt idx="0">
                  <c:v>6.2099282309999997E-2</c:v>
                </c:pt>
                <c:pt idx="1">
                  <c:v>6.2099282309999997E-2</c:v>
                </c:pt>
                <c:pt idx="2">
                  <c:v>6.2099282309999997E-2</c:v>
                </c:pt>
                <c:pt idx="3">
                  <c:v>6.2099282309999997E-2</c:v>
                </c:pt>
                <c:pt idx="4">
                  <c:v>6.2099282309999997E-2</c:v>
                </c:pt>
                <c:pt idx="5">
                  <c:v>6.2099282309999997E-2</c:v>
                </c:pt>
                <c:pt idx="6">
                  <c:v>6.2099282309999997E-2</c:v>
                </c:pt>
                <c:pt idx="7">
                  <c:v>6.2099282309999997E-2</c:v>
                </c:pt>
                <c:pt idx="8">
                  <c:v>6.2099282309999997E-2</c:v>
                </c:pt>
                <c:pt idx="9">
                  <c:v>6.2099282309999997E-2</c:v>
                </c:pt>
                <c:pt idx="10">
                  <c:v>6.2099282309999997E-2</c:v>
                </c:pt>
                <c:pt idx="11">
                  <c:v>6.2099282309999997E-2</c:v>
                </c:pt>
                <c:pt idx="12">
                  <c:v>6.2099282309999997E-2</c:v>
                </c:pt>
                <c:pt idx="13">
                  <c:v>6.2099282309999997E-2</c:v>
                </c:pt>
                <c:pt idx="14">
                  <c:v>6.2099282309999997E-2</c:v>
                </c:pt>
                <c:pt idx="15">
                  <c:v>6.2099282309999997E-2</c:v>
                </c:pt>
                <c:pt idx="16">
                  <c:v>6.2099282309999997E-2</c:v>
                </c:pt>
                <c:pt idx="17">
                  <c:v>6.2099282309999997E-2</c:v>
                </c:pt>
                <c:pt idx="18">
                  <c:v>6.2099282309999997E-2</c:v>
                </c:pt>
                <c:pt idx="19">
                  <c:v>6.2099282309999997E-2</c:v>
                </c:pt>
                <c:pt idx="20">
                  <c:v>6.2099282309999997E-2</c:v>
                </c:pt>
                <c:pt idx="21">
                  <c:v>5.6376858580000001E-2</c:v>
                </c:pt>
                <c:pt idx="22">
                  <c:v>5.0958592140000002E-2</c:v>
                </c:pt>
                <c:pt idx="23">
                  <c:v>4.5872067789999998E-2</c:v>
                </c:pt>
                <c:pt idx="24">
                  <c:v>4.1124266120000003E-2</c:v>
                </c:pt>
                <c:pt idx="25">
                  <c:v>3.6714420060000003E-2</c:v>
                </c:pt>
                <c:pt idx="26">
                  <c:v>3.2637155760000001E-2</c:v>
                </c:pt>
                <c:pt idx="27">
                  <c:v>2.888384695E-2</c:v>
                </c:pt>
                <c:pt idx="28">
                  <c:v>2.544341348E-2</c:v>
                </c:pt>
                <c:pt idx="29">
                  <c:v>2.2302898370000001E-2</c:v>
                </c:pt>
                <c:pt idx="30">
                  <c:v>1.9447938750000001E-2</c:v>
                </c:pt>
                <c:pt idx="31">
                  <c:v>1.686317516E-2</c:v>
                </c:pt>
                <c:pt idx="32">
                  <c:v>1.453261743E-2</c:v>
                </c:pt>
                <c:pt idx="33">
                  <c:v>1.243997388E-2</c:v>
                </c:pt>
                <c:pt idx="34">
                  <c:v>1.056894643E-2</c:v>
                </c:pt>
                <c:pt idx="35">
                  <c:v>8.9034916330000009E-3</c:v>
                </c:pt>
                <c:pt idx="36">
                  <c:v>7.4280473290000001E-3</c:v>
                </c:pt>
                <c:pt idx="37">
                  <c:v>6.1277239420000004E-3</c:v>
                </c:pt>
                <c:pt idx="38">
                  <c:v>4.9884595300000003E-3</c:v>
                </c:pt>
                <c:pt idx="39">
                  <c:v>3.9971377870000003E-3</c:v>
                </c:pt>
                <c:pt idx="40">
                  <c:v>3.141668282E-3</c:v>
                </c:pt>
                <c:pt idx="41">
                  <c:v>2.4110278300000002E-3</c:v>
                </c:pt>
                <c:pt idx="42">
                  <c:v>1.7952598409999999E-3</c:v>
                </c:pt>
                <c:pt idx="43">
                  <c:v>1.2854225189999999E-3</c:v>
                </c:pt>
                <c:pt idx="44">
                  <c:v>8.7346443140000004E-4</c:v>
                </c:pt>
                <c:pt idx="45">
                  <c:v>5.5198500089999997E-4</c:v>
                </c:pt>
                <c:pt idx="46">
                  <c:v>3.1380537260000002E-4</c:v>
                </c:pt>
                <c:pt idx="47">
                  <c:v>1.512124914E-4</c:v>
                </c:pt>
                <c:pt idx="48">
                  <c:v>5.4599999999999999E-5</c:v>
                </c:pt>
                <c:pt idx="49">
                  <c:v>1.0499999999999999E-5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31-401D-AFE1-6A0D43CFF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22400"/>
        <c:axId val="789626240"/>
      </c:scatterChart>
      <c:valAx>
        <c:axId val="7896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6240"/>
        <c:crosses val="autoZero"/>
        <c:crossBetween val="midCat"/>
      </c:valAx>
      <c:valAx>
        <c:axId val="789626240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2400"/>
        <c:crosses val="autoZero"/>
        <c:crossBetween val="midCat"/>
        <c:majorUnit val="1.0000000000000002E-2"/>
        <c:minorUnit val="1.1000000000000003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Esforço Cortante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ESTOL'!$C$4:$C$103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ESTOL'!$I$4:$I$103</c:f>
              <c:numCache>
                <c:formatCode>General</c:formatCode>
                <c:ptCount val="100"/>
                <c:pt idx="0">
                  <c:v>5.7301330209999996E-3</c:v>
                </c:pt>
                <c:pt idx="1">
                  <c:v>3.5597000500000003E-2</c:v>
                </c:pt>
                <c:pt idx="2">
                  <c:v>0.1086602082</c:v>
                </c:pt>
                <c:pt idx="3">
                  <c:v>0.24363597300000001</c:v>
                </c:pt>
                <c:pt idx="4">
                  <c:v>0.45763457959999998</c:v>
                </c:pt>
                <c:pt idx="5">
                  <c:v>0.76617174789999998</c:v>
                </c:pt>
                <c:pt idx="6">
                  <c:v>1.183451475</c:v>
                </c:pt>
                <c:pt idx="7">
                  <c:v>1.7224478080000001</c:v>
                </c:pt>
                <c:pt idx="8">
                  <c:v>2.3949239009999999</c:v>
                </c:pt>
                <c:pt idx="9">
                  <c:v>3.211439747</c:v>
                </c:pt>
                <c:pt idx="10">
                  <c:v>4.1813595939999999</c:v>
                </c:pt>
                <c:pt idx="11">
                  <c:v>5.3128608389999998</c:v>
                </c:pt>
                <c:pt idx="12">
                  <c:v>6.6129433610000001</c:v>
                </c:pt>
                <c:pt idx="13">
                  <c:v>8.087436941</c:v>
                </c:pt>
                <c:pt idx="14">
                  <c:v>9.7410039640000008</c:v>
                </c:pt>
                <c:pt idx="15">
                  <c:v>11.5771351</c:v>
                </c:pt>
                <c:pt idx="16">
                  <c:v>13.598136739999999</c:v>
                </c:pt>
                <c:pt idx="17">
                  <c:v>15.80511048</c:v>
                </c:pt>
                <c:pt idx="18">
                  <c:v>18.197925940000001</c:v>
                </c:pt>
                <c:pt idx="19">
                  <c:v>20.775189619999999</c:v>
                </c:pt>
                <c:pt idx="20">
                  <c:v>23.534212369999999</c:v>
                </c:pt>
                <c:pt idx="21">
                  <c:v>26.47097845</c:v>
                </c:pt>
                <c:pt idx="22">
                  <c:v>29.580118219999999</c:v>
                </c:pt>
                <c:pt idx="23">
                  <c:v>32.85488522</c:v>
                </c:pt>
                <c:pt idx="24">
                  <c:v>36.2871357</c:v>
                </c:pt>
                <c:pt idx="25">
                  <c:v>39.867303</c:v>
                </c:pt>
                <c:pt idx="26">
                  <c:v>43.58434544</c:v>
                </c:pt>
                <c:pt idx="27">
                  <c:v>47.42560452</c:v>
                </c:pt>
                <c:pt idx="28">
                  <c:v>51.37633838</c:v>
                </c:pt>
                <c:pt idx="29">
                  <c:v>55.417529379999998</c:v>
                </c:pt>
                <c:pt idx="30">
                  <c:v>55.576746559999997</c:v>
                </c:pt>
                <c:pt idx="31">
                  <c:v>56.054994430000001</c:v>
                </c:pt>
                <c:pt idx="32">
                  <c:v>56.851690009999999</c:v>
                </c:pt>
                <c:pt idx="33">
                  <c:v>57.964414650000002</c:v>
                </c:pt>
                <c:pt idx="34">
                  <c:v>59.388945569999997</c:v>
                </c:pt>
                <c:pt idx="35">
                  <c:v>61.11926261</c:v>
                </c:pt>
                <c:pt idx="36">
                  <c:v>63.147517569999998</c:v>
                </c:pt>
                <c:pt idx="37">
                  <c:v>65.463972949999999</c:v>
                </c:pt>
                <c:pt idx="38">
                  <c:v>68.056934130000002</c:v>
                </c:pt>
                <c:pt idx="39">
                  <c:v>70.912696769999997</c:v>
                </c:pt>
                <c:pt idx="40">
                  <c:v>74.015523130000005</c:v>
                </c:pt>
                <c:pt idx="41">
                  <c:v>77.347654980000002</c:v>
                </c:pt>
                <c:pt idx="42">
                  <c:v>80.889367059999998</c:v>
                </c:pt>
                <c:pt idx="43">
                  <c:v>84.619062360000001</c:v>
                </c:pt>
                <c:pt idx="44">
                  <c:v>88.513408010000006</c:v>
                </c:pt>
                <c:pt idx="45">
                  <c:v>92.547509120000001</c:v>
                </c:pt>
                <c:pt idx="46">
                  <c:v>96.695116290000001</c:v>
                </c:pt>
                <c:pt idx="47">
                  <c:v>100.92886180000001</c:v>
                </c:pt>
                <c:pt idx="48">
                  <c:v>105.2205191</c:v>
                </c:pt>
                <c:pt idx="49">
                  <c:v>109.5412793</c:v>
                </c:pt>
                <c:pt idx="50">
                  <c:v>-109.5412793</c:v>
                </c:pt>
                <c:pt idx="51">
                  <c:v>-105.2205191</c:v>
                </c:pt>
                <c:pt idx="52">
                  <c:v>-100.92886180000001</c:v>
                </c:pt>
                <c:pt idx="53">
                  <c:v>-96.695116290000001</c:v>
                </c:pt>
                <c:pt idx="54">
                  <c:v>-92.547509120000001</c:v>
                </c:pt>
                <c:pt idx="55">
                  <c:v>-88.513408010000006</c:v>
                </c:pt>
                <c:pt idx="56">
                  <c:v>-84.619062360000001</c:v>
                </c:pt>
                <c:pt idx="57">
                  <c:v>-80.889367059999998</c:v>
                </c:pt>
                <c:pt idx="58">
                  <c:v>-77.347654980000002</c:v>
                </c:pt>
                <c:pt idx="59">
                  <c:v>-74.015523130000005</c:v>
                </c:pt>
                <c:pt idx="60">
                  <c:v>-70.912696769999997</c:v>
                </c:pt>
                <c:pt idx="61">
                  <c:v>-68.056934130000002</c:v>
                </c:pt>
                <c:pt idx="62">
                  <c:v>-65.463972949999999</c:v>
                </c:pt>
                <c:pt idx="63">
                  <c:v>-63.147517569999998</c:v>
                </c:pt>
                <c:pt idx="64">
                  <c:v>-61.11926261</c:v>
                </c:pt>
                <c:pt idx="65">
                  <c:v>-59.388945569999997</c:v>
                </c:pt>
                <c:pt idx="66">
                  <c:v>-57.964414650000002</c:v>
                </c:pt>
                <c:pt idx="67">
                  <c:v>-56.851690009999999</c:v>
                </c:pt>
                <c:pt idx="68">
                  <c:v>-56.054994430000001</c:v>
                </c:pt>
                <c:pt idx="69">
                  <c:v>-55.576746559999997</c:v>
                </c:pt>
                <c:pt idx="70">
                  <c:v>-55.417529379999998</c:v>
                </c:pt>
                <c:pt idx="71">
                  <c:v>-51.37633838</c:v>
                </c:pt>
                <c:pt idx="72">
                  <c:v>-47.42560452</c:v>
                </c:pt>
                <c:pt idx="73">
                  <c:v>-43.58434544</c:v>
                </c:pt>
                <c:pt idx="74">
                  <c:v>-39.867303</c:v>
                </c:pt>
                <c:pt idx="75">
                  <c:v>-36.2871357</c:v>
                </c:pt>
                <c:pt idx="76">
                  <c:v>-32.85488522</c:v>
                </c:pt>
                <c:pt idx="77">
                  <c:v>-29.580118219999999</c:v>
                </c:pt>
                <c:pt idx="78">
                  <c:v>-26.47097845</c:v>
                </c:pt>
                <c:pt idx="79">
                  <c:v>-23.534212369999999</c:v>
                </c:pt>
                <c:pt idx="80">
                  <c:v>-20.775189619999999</c:v>
                </c:pt>
                <c:pt idx="81">
                  <c:v>-18.197925940000001</c:v>
                </c:pt>
                <c:pt idx="82">
                  <c:v>-15.80511048</c:v>
                </c:pt>
                <c:pt idx="83">
                  <c:v>-13.598136739999999</c:v>
                </c:pt>
                <c:pt idx="84">
                  <c:v>-11.5771351</c:v>
                </c:pt>
                <c:pt idx="85">
                  <c:v>-9.7410039640000008</c:v>
                </c:pt>
                <c:pt idx="86">
                  <c:v>-8.087436941</c:v>
                </c:pt>
                <c:pt idx="87">
                  <c:v>-6.6129433610000001</c:v>
                </c:pt>
                <c:pt idx="88">
                  <c:v>-5.3128608389999998</c:v>
                </c:pt>
                <c:pt idx="89">
                  <c:v>-4.1813595939999999</c:v>
                </c:pt>
                <c:pt idx="90">
                  <c:v>-3.211439747</c:v>
                </c:pt>
                <c:pt idx="91">
                  <c:v>-2.3949239009999999</c:v>
                </c:pt>
                <c:pt idx="92">
                  <c:v>-1.7224478080000001</c:v>
                </c:pt>
                <c:pt idx="93">
                  <c:v>-1.183451475</c:v>
                </c:pt>
                <c:pt idx="94">
                  <c:v>-0.76617174789999998</c:v>
                </c:pt>
                <c:pt idx="95">
                  <c:v>-0.45763457959999998</c:v>
                </c:pt>
                <c:pt idx="96">
                  <c:v>-0.24363597300000001</c:v>
                </c:pt>
                <c:pt idx="97">
                  <c:v>-0.1086602082</c:v>
                </c:pt>
                <c:pt idx="98">
                  <c:v>-3.5597000500000003E-2</c:v>
                </c:pt>
                <c:pt idx="99">
                  <c:v>-5.7301330209999996E-3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C1-49B0-BC5B-9F90E5532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64831"/>
        <c:axId val="43953311"/>
      </c:scatterChart>
      <c:valAx>
        <c:axId val="4396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53311"/>
        <c:crosses val="autoZero"/>
        <c:crossBetween val="midCat"/>
      </c:valAx>
      <c:valAx>
        <c:axId val="439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964831"/>
        <c:crossesAt val="0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Fletor</a:t>
            </a:r>
            <a:r>
              <a:rPr lang="pt-BR" baseline="0"/>
              <a:t> x 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ESTOL'!$C$4:$C$103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ESTOL'!$J$4:$J$103</c:f>
              <c:numCache>
                <c:formatCode>0.000000000</c:formatCode>
                <c:ptCount val="100"/>
                <c:pt idx="0">
                  <c:v>-4.1200000000000004E-6</c:v>
                </c:pt>
                <c:pt idx="1">
                  <c:v>-8.0900000000000001E-5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-2</c:v>
                </c:pt>
                <c:pt idx="18" formatCode="General">
                  <c:v>-2</c:v>
                </c:pt>
                <c:pt idx="19" formatCode="General">
                  <c:v>-2</c:v>
                </c:pt>
                <c:pt idx="20" formatCode="General">
                  <c:v>-3</c:v>
                </c:pt>
                <c:pt idx="21" formatCode="General">
                  <c:v>-4</c:v>
                </c:pt>
                <c:pt idx="22" formatCode="General">
                  <c:v>-4</c:v>
                </c:pt>
                <c:pt idx="23" formatCode="General">
                  <c:v>-5</c:v>
                </c:pt>
                <c:pt idx="24" formatCode="General">
                  <c:v>-6</c:v>
                </c:pt>
                <c:pt idx="25" formatCode="General">
                  <c:v>-7</c:v>
                </c:pt>
                <c:pt idx="26" formatCode="General">
                  <c:v>-8</c:v>
                </c:pt>
                <c:pt idx="27" formatCode="General">
                  <c:v>-10</c:v>
                </c:pt>
                <c:pt idx="28" formatCode="General">
                  <c:v>-11</c:v>
                </c:pt>
                <c:pt idx="29" formatCode="General">
                  <c:v>-13</c:v>
                </c:pt>
                <c:pt idx="30" formatCode="General">
                  <c:v>-13</c:v>
                </c:pt>
                <c:pt idx="31" formatCode="General">
                  <c:v>-13</c:v>
                </c:pt>
                <c:pt idx="32" formatCode="General">
                  <c:v>-13</c:v>
                </c:pt>
                <c:pt idx="33" formatCode="General">
                  <c:v>-14</c:v>
                </c:pt>
                <c:pt idx="34" formatCode="General">
                  <c:v>-14</c:v>
                </c:pt>
                <c:pt idx="35" formatCode="General">
                  <c:v>-15</c:v>
                </c:pt>
                <c:pt idx="36" formatCode="General">
                  <c:v>-16</c:v>
                </c:pt>
                <c:pt idx="37" formatCode="General">
                  <c:v>-17</c:v>
                </c:pt>
                <c:pt idx="38" formatCode="General">
                  <c:v>-18</c:v>
                </c:pt>
                <c:pt idx="39" formatCode="General">
                  <c:v>-19</c:v>
                </c:pt>
                <c:pt idx="40" formatCode="General">
                  <c:v>-21</c:v>
                </c:pt>
                <c:pt idx="41" formatCode="General">
                  <c:v>-22</c:v>
                </c:pt>
                <c:pt idx="42" formatCode="General">
                  <c:v>-24</c:v>
                </c:pt>
                <c:pt idx="43" formatCode="General">
                  <c:v>-26</c:v>
                </c:pt>
                <c:pt idx="44" formatCode="General">
                  <c:v>-29</c:v>
                </c:pt>
                <c:pt idx="45" formatCode="General">
                  <c:v>-31</c:v>
                </c:pt>
                <c:pt idx="46" formatCode="General">
                  <c:v>-33</c:v>
                </c:pt>
                <c:pt idx="47" formatCode="General">
                  <c:v>-36</c:v>
                </c:pt>
                <c:pt idx="48" formatCode="General">
                  <c:v>-39</c:v>
                </c:pt>
                <c:pt idx="49" formatCode="General">
                  <c:v>-42</c:v>
                </c:pt>
                <c:pt idx="50" formatCode="General">
                  <c:v>-42</c:v>
                </c:pt>
                <c:pt idx="51" formatCode="General">
                  <c:v>-39</c:v>
                </c:pt>
                <c:pt idx="52" formatCode="General">
                  <c:v>-36</c:v>
                </c:pt>
                <c:pt idx="53" formatCode="General">
                  <c:v>-33</c:v>
                </c:pt>
                <c:pt idx="54" formatCode="General">
                  <c:v>-31</c:v>
                </c:pt>
                <c:pt idx="55" formatCode="General">
                  <c:v>-29</c:v>
                </c:pt>
                <c:pt idx="56" formatCode="General">
                  <c:v>-26</c:v>
                </c:pt>
                <c:pt idx="57" formatCode="General">
                  <c:v>-24</c:v>
                </c:pt>
                <c:pt idx="58" formatCode="General">
                  <c:v>-22</c:v>
                </c:pt>
                <c:pt idx="59" formatCode="General">
                  <c:v>-21</c:v>
                </c:pt>
                <c:pt idx="60" formatCode="General">
                  <c:v>-19</c:v>
                </c:pt>
                <c:pt idx="61" formatCode="General">
                  <c:v>-18</c:v>
                </c:pt>
                <c:pt idx="62" formatCode="General">
                  <c:v>-17</c:v>
                </c:pt>
                <c:pt idx="63" formatCode="General">
                  <c:v>-16</c:v>
                </c:pt>
                <c:pt idx="64" formatCode="General">
                  <c:v>-15</c:v>
                </c:pt>
                <c:pt idx="65" formatCode="General">
                  <c:v>-14</c:v>
                </c:pt>
                <c:pt idx="66" formatCode="General">
                  <c:v>-14</c:v>
                </c:pt>
                <c:pt idx="67" formatCode="General">
                  <c:v>-13</c:v>
                </c:pt>
                <c:pt idx="68" formatCode="General">
                  <c:v>-13</c:v>
                </c:pt>
                <c:pt idx="69" formatCode="General">
                  <c:v>-13</c:v>
                </c:pt>
                <c:pt idx="70" formatCode="General">
                  <c:v>-13</c:v>
                </c:pt>
                <c:pt idx="71" formatCode="General">
                  <c:v>-11</c:v>
                </c:pt>
                <c:pt idx="72" formatCode="General">
                  <c:v>-10</c:v>
                </c:pt>
                <c:pt idx="73" formatCode="General">
                  <c:v>-8</c:v>
                </c:pt>
                <c:pt idx="74" formatCode="General">
                  <c:v>-7</c:v>
                </c:pt>
                <c:pt idx="75" formatCode="General">
                  <c:v>-6</c:v>
                </c:pt>
                <c:pt idx="76" formatCode="General">
                  <c:v>-5</c:v>
                </c:pt>
                <c:pt idx="77" formatCode="General">
                  <c:v>-4</c:v>
                </c:pt>
                <c:pt idx="78" formatCode="General">
                  <c:v>-4</c:v>
                </c:pt>
                <c:pt idx="79" formatCode="General">
                  <c:v>-3</c:v>
                </c:pt>
                <c:pt idx="80" formatCode="General">
                  <c:v>-2</c:v>
                </c:pt>
                <c:pt idx="81" formatCode="General">
                  <c:v>-2</c:v>
                </c:pt>
                <c:pt idx="82" formatCode="General">
                  <c:v>-2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0</c:v>
                </c:pt>
                <c:pt idx="88" formatCode="General">
                  <c:v>0</c:v>
                </c:pt>
                <c:pt idx="89" formatCode="General">
                  <c:v>0</c:v>
                </c:pt>
                <c:pt idx="90" formatCode="General">
                  <c:v>0</c:v>
                </c:pt>
                <c:pt idx="91" formatCode="General">
                  <c:v>0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General">
                  <c:v>0</c:v>
                </c:pt>
                <c:pt idx="96" formatCode="General">
                  <c:v>0</c:v>
                </c:pt>
                <c:pt idx="97" formatCode="General">
                  <c:v>0</c:v>
                </c:pt>
                <c:pt idx="98">
                  <c:v>-8.0900000000000001E-5</c:v>
                </c:pt>
                <c:pt idx="99">
                  <c:v>-4.1200000000000004E-6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BD-4F63-A777-2319ABA42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08239"/>
        <c:axId val="118113039"/>
      </c:scatterChart>
      <c:valAx>
        <c:axId val="11810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113039"/>
        <c:crosses val="autoZero"/>
        <c:crossBetween val="midCat"/>
      </c:valAx>
      <c:valAx>
        <c:axId val="11811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10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Esforço Cortante x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832263654122329E-2"/>
                  <c:y val="0.52755049193462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ESTOL'!$C$54:$C$103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ESTOL'!$I$54:$I$103</c:f>
              <c:numCache>
                <c:formatCode>General</c:formatCode>
                <c:ptCount val="50"/>
                <c:pt idx="0">
                  <c:v>-109.5412793</c:v>
                </c:pt>
                <c:pt idx="1">
                  <c:v>-105.2205191</c:v>
                </c:pt>
                <c:pt idx="2">
                  <c:v>-100.92886180000001</c:v>
                </c:pt>
                <c:pt idx="3">
                  <c:v>-96.695116290000001</c:v>
                </c:pt>
                <c:pt idx="4">
                  <c:v>-92.547509120000001</c:v>
                </c:pt>
                <c:pt idx="5">
                  <c:v>-88.513408010000006</c:v>
                </c:pt>
                <c:pt idx="6">
                  <c:v>-84.619062360000001</c:v>
                </c:pt>
                <c:pt idx="7">
                  <c:v>-80.889367059999998</c:v>
                </c:pt>
                <c:pt idx="8">
                  <c:v>-77.347654980000002</c:v>
                </c:pt>
                <c:pt idx="9">
                  <c:v>-74.015523130000005</c:v>
                </c:pt>
                <c:pt idx="10">
                  <c:v>-70.912696769999997</c:v>
                </c:pt>
                <c:pt idx="11">
                  <c:v>-68.056934130000002</c:v>
                </c:pt>
                <c:pt idx="12">
                  <c:v>-65.463972949999999</c:v>
                </c:pt>
                <c:pt idx="13">
                  <c:v>-63.147517569999998</c:v>
                </c:pt>
                <c:pt idx="14">
                  <c:v>-61.11926261</c:v>
                </c:pt>
                <c:pt idx="15">
                  <c:v>-59.388945569999997</c:v>
                </c:pt>
                <c:pt idx="16">
                  <c:v>-57.964414650000002</c:v>
                </c:pt>
                <c:pt idx="17">
                  <c:v>-56.851690009999999</c:v>
                </c:pt>
                <c:pt idx="18">
                  <c:v>-56.054994430000001</c:v>
                </c:pt>
                <c:pt idx="19">
                  <c:v>-55.576746559999997</c:v>
                </c:pt>
                <c:pt idx="20">
                  <c:v>-55.417529379999998</c:v>
                </c:pt>
                <c:pt idx="21">
                  <c:v>-51.37633838</c:v>
                </c:pt>
                <c:pt idx="22">
                  <c:v>-47.42560452</c:v>
                </c:pt>
                <c:pt idx="23">
                  <c:v>-43.58434544</c:v>
                </c:pt>
                <c:pt idx="24">
                  <c:v>-39.867303</c:v>
                </c:pt>
                <c:pt idx="25">
                  <c:v>-36.2871357</c:v>
                </c:pt>
                <c:pt idx="26">
                  <c:v>-32.85488522</c:v>
                </c:pt>
                <c:pt idx="27">
                  <c:v>-29.580118219999999</c:v>
                </c:pt>
                <c:pt idx="28">
                  <c:v>-26.47097845</c:v>
                </c:pt>
                <c:pt idx="29">
                  <c:v>-23.534212369999999</c:v>
                </c:pt>
                <c:pt idx="30">
                  <c:v>-20.775189619999999</c:v>
                </c:pt>
                <c:pt idx="31">
                  <c:v>-18.197925940000001</c:v>
                </c:pt>
                <c:pt idx="32">
                  <c:v>-15.80511048</c:v>
                </c:pt>
                <c:pt idx="33">
                  <c:v>-13.598136739999999</c:v>
                </c:pt>
                <c:pt idx="34">
                  <c:v>-11.5771351</c:v>
                </c:pt>
                <c:pt idx="35">
                  <c:v>-9.7410039640000008</c:v>
                </c:pt>
                <c:pt idx="36">
                  <c:v>-8.087436941</c:v>
                </c:pt>
                <c:pt idx="37">
                  <c:v>-6.6129433610000001</c:v>
                </c:pt>
                <c:pt idx="38">
                  <c:v>-5.3128608389999998</c:v>
                </c:pt>
                <c:pt idx="39">
                  <c:v>-4.1813595939999999</c:v>
                </c:pt>
                <c:pt idx="40">
                  <c:v>-3.211439747</c:v>
                </c:pt>
                <c:pt idx="41">
                  <c:v>-2.3949239009999999</c:v>
                </c:pt>
                <c:pt idx="42">
                  <c:v>-1.7224478080000001</c:v>
                </c:pt>
                <c:pt idx="43">
                  <c:v>-1.183451475</c:v>
                </c:pt>
                <c:pt idx="44">
                  <c:v>-0.76617174789999998</c:v>
                </c:pt>
                <c:pt idx="45">
                  <c:v>-0.45763457959999998</c:v>
                </c:pt>
                <c:pt idx="46">
                  <c:v>-0.24363597300000001</c:v>
                </c:pt>
                <c:pt idx="47">
                  <c:v>-0.1086602082</c:v>
                </c:pt>
                <c:pt idx="48">
                  <c:v>-3.5597000500000003E-2</c:v>
                </c:pt>
                <c:pt idx="49">
                  <c:v>-5.7301330209999996E-3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F1-477B-AD88-546A3409D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58799"/>
        <c:axId val="1950944879"/>
      </c:scatterChart>
      <c:valAx>
        <c:axId val="195095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44879"/>
        <c:crosses val="autoZero"/>
        <c:crossBetween val="midCat"/>
      </c:valAx>
      <c:valAx>
        <c:axId val="195094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58799"/>
        <c:crosses val="autoZero"/>
        <c:crossBetween val="midCat"/>
        <c:majorUnit val="10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995840021188037E-2"/>
                  <c:y val="0.482218564666195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ESTOL'!$C$54:$C$103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ESTOL'!$J$54:$J$103</c:f>
              <c:numCache>
                <c:formatCode>General</c:formatCode>
                <c:ptCount val="50"/>
                <c:pt idx="0">
                  <c:v>-42</c:v>
                </c:pt>
                <c:pt idx="1">
                  <c:v>-39</c:v>
                </c:pt>
                <c:pt idx="2">
                  <c:v>-36</c:v>
                </c:pt>
                <c:pt idx="3">
                  <c:v>-33</c:v>
                </c:pt>
                <c:pt idx="4">
                  <c:v>-31</c:v>
                </c:pt>
                <c:pt idx="5">
                  <c:v>-29</c:v>
                </c:pt>
                <c:pt idx="6">
                  <c:v>-26</c:v>
                </c:pt>
                <c:pt idx="7">
                  <c:v>-24</c:v>
                </c:pt>
                <c:pt idx="8">
                  <c:v>-22</c:v>
                </c:pt>
                <c:pt idx="9">
                  <c:v>-21</c:v>
                </c:pt>
                <c:pt idx="10">
                  <c:v>-19</c:v>
                </c:pt>
                <c:pt idx="11">
                  <c:v>-18</c:v>
                </c:pt>
                <c:pt idx="12">
                  <c:v>-17</c:v>
                </c:pt>
                <c:pt idx="13">
                  <c:v>-16</c:v>
                </c:pt>
                <c:pt idx="14">
                  <c:v>-15</c:v>
                </c:pt>
                <c:pt idx="15">
                  <c:v>-14</c:v>
                </c:pt>
                <c:pt idx="16">
                  <c:v>-14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-11</c:v>
                </c:pt>
                <c:pt idx="22">
                  <c:v>-10</c:v>
                </c:pt>
                <c:pt idx="23">
                  <c:v>-8</c:v>
                </c:pt>
                <c:pt idx="24">
                  <c:v>-7</c:v>
                </c:pt>
                <c:pt idx="25">
                  <c:v>-6</c:v>
                </c:pt>
                <c:pt idx="26">
                  <c:v>-5</c:v>
                </c:pt>
                <c:pt idx="27">
                  <c:v>-4</c:v>
                </c:pt>
                <c:pt idx="28">
                  <c:v>-4</c:v>
                </c:pt>
                <c:pt idx="29">
                  <c:v>-3</c:v>
                </c:pt>
                <c:pt idx="30">
                  <c:v>-2</c:v>
                </c:pt>
                <c:pt idx="31">
                  <c:v>-2</c:v>
                </c:pt>
                <c:pt idx="32">
                  <c:v>-2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 formatCode="0.000000000">
                  <c:v>-8.0900000000000001E-5</c:v>
                </c:pt>
                <c:pt idx="49" formatCode="0.000000000">
                  <c:v>-4.1200000000000004E-6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A4-410B-A7C3-1B095E9B3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943919"/>
        <c:axId val="1950954479"/>
      </c:scatterChart>
      <c:valAx>
        <c:axId val="195094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54479"/>
        <c:crosses val="autoZero"/>
        <c:crossBetween val="midCat"/>
      </c:valAx>
      <c:valAx>
        <c:axId val="195095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Fletor</a:t>
                </a:r>
                <a:r>
                  <a:rPr lang="pt-BR" baseline="0"/>
                  <a:t> N.m]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4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de Sustentação da Asa</a:t>
            </a:r>
            <a:r>
              <a:rPr lang="pt-BR" baseline="0"/>
              <a:t> SEM endplat vs Envergadura Total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'Distrib. ASA INCD. ESTOL'!$C$4:$C$103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ESTOL'!$G$4:$G$103</c:f>
              <c:numCache>
                <c:formatCode>General</c:formatCode>
                <c:ptCount val="100"/>
                <c:pt idx="0">
                  <c:v>42.278207195640427</c:v>
                </c:pt>
                <c:pt idx="1">
                  <c:v>73.442655472046695</c:v>
                </c:pt>
                <c:pt idx="2">
                  <c:v>107.17632012508355</c:v>
                </c:pt>
                <c:pt idx="3">
                  <c:v>140.80976241237363</c:v>
                </c:pt>
                <c:pt idx="4">
                  <c:v>172.75599660559874</c:v>
                </c:pt>
                <c:pt idx="5">
                  <c:v>202.40494952377142</c:v>
                </c:pt>
                <c:pt idx="6">
                  <c:v>229.60284489962498</c:v>
                </c:pt>
                <c:pt idx="7">
                  <c:v>254.2977967484785</c:v>
                </c:pt>
                <c:pt idx="8">
                  <c:v>276.4866717341348</c:v>
                </c:pt>
                <c:pt idx="9">
                  <c:v>296.20825407995699</c:v>
                </c:pt>
                <c:pt idx="10">
                  <c:v>313.53919068029137</c:v>
                </c:pt>
                <c:pt idx="11">
                  <c:v>328.58841297761285</c:v>
                </c:pt>
                <c:pt idx="12">
                  <c:v>341.49026105452549</c:v>
                </c:pt>
                <c:pt idx="13">
                  <c:v>352.3969923890852</c:v>
                </c:pt>
                <c:pt idx="14">
                  <c:v>361.47133840185245</c:v>
                </c:pt>
                <c:pt idx="15">
                  <c:v>368.87968185963933</c:v>
                </c:pt>
                <c:pt idx="16">
                  <c:v>374.78627799833811</c:v>
                </c:pt>
                <c:pt idx="17">
                  <c:v>379.34874147289906</c:v>
                </c:pt>
                <c:pt idx="18">
                  <c:v>382.7148354503629</c:v>
                </c:pt>
                <c:pt idx="19">
                  <c:v>385.02044242240822</c:v>
                </c:pt>
                <c:pt idx="20">
                  <c:v>386.38850261884625</c:v>
                </c:pt>
                <c:pt idx="21">
                  <c:v>386.9286546254346</c:v>
                </c:pt>
                <c:pt idx="22">
                  <c:v>386.73728767877941</c:v>
                </c:pt>
                <c:pt idx="23">
                  <c:v>385.89768213625143</c:v>
                </c:pt>
                <c:pt idx="24">
                  <c:v>384.47981467747746</c:v>
                </c:pt>
                <c:pt idx="25">
                  <c:v>382.53910104774354</c:v>
                </c:pt>
                <c:pt idx="26">
                  <c:v>380.11241757808028</c:v>
                </c:pt>
                <c:pt idx="27">
                  <c:v>377.2064125484012</c:v>
                </c:pt>
                <c:pt idx="28">
                  <c:v>373.75768391033961</c:v>
                </c:pt>
                <c:pt idx="29">
                  <c:v>369.41381370618984</c:v>
                </c:pt>
                <c:pt idx="30">
                  <c:v>365.74104586475318</c:v>
                </c:pt>
                <c:pt idx="31">
                  <c:v>366.58188731012615</c:v>
                </c:pt>
                <c:pt idx="32">
                  <c:v>368.11629541010848</c:v>
                </c:pt>
                <c:pt idx="33">
                  <c:v>369.79111517605276</c:v>
                </c:pt>
                <c:pt idx="34">
                  <c:v>371.54199206606239</c:v>
                </c:pt>
                <c:pt idx="35">
                  <c:v>373.36927674650627</c:v>
                </c:pt>
                <c:pt idx="36">
                  <c:v>375.2644617084498</c:v>
                </c:pt>
                <c:pt idx="37">
                  <c:v>377.207175618176</c:v>
                </c:pt>
                <c:pt idx="38">
                  <c:v>379.16964116703338</c:v>
                </c:pt>
                <c:pt idx="39">
                  <c:v>381.11982409610346</c:v>
                </c:pt>
                <c:pt idx="40">
                  <c:v>383.02377905833578</c:v>
                </c:pt>
                <c:pt idx="41">
                  <c:v>384.84744667474132</c:v>
                </c:pt>
                <c:pt idx="42">
                  <c:v>386.55801436394705</c:v>
                </c:pt>
                <c:pt idx="43">
                  <c:v>388.12492636011831</c:v>
                </c:pt>
                <c:pt idx="44">
                  <c:v>389.52061220999275</c:v>
                </c:pt>
                <c:pt idx="45">
                  <c:v>390.72098517234696</c:v>
                </c:pt>
                <c:pt idx="46">
                  <c:v>391.705758602152</c:v>
                </c:pt>
                <c:pt idx="47">
                  <c:v>392.45862433429403</c:v>
                </c:pt>
                <c:pt idx="48">
                  <c:v>392.96733475751734</c:v>
                </c:pt>
                <c:pt idx="49">
                  <c:v>393.22372867134771</c:v>
                </c:pt>
                <c:pt idx="50">
                  <c:v>393.22372867134771</c:v>
                </c:pt>
                <c:pt idx="51">
                  <c:v>392.96733475751734</c:v>
                </c:pt>
                <c:pt idx="52">
                  <c:v>392.45862433429403</c:v>
                </c:pt>
                <c:pt idx="53">
                  <c:v>391.705758602152</c:v>
                </c:pt>
                <c:pt idx="54">
                  <c:v>390.72098517234696</c:v>
                </c:pt>
                <c:pt idx="55">
                  <c:v>389.52061220999275</c:v>
                </c:pt>
                <c:pt idx="56">
                  <c:v>388.12492636011831</c:v>
                </c:pt>
                <c:pt idx="57">
                  <c:v>386.55801436394705</c:v>
                </c:pt>
                <c:pt idx="58">
                  <c:v>384.84744667474132</c:v>
                </c:pt>
                <c:pt idx="59">
                  <c:v>383.02377905833578</c:v>
                </c:pt>
                <c:pt idx="60">
                  <c:v>381.11982409610346</c:v>
                </c:pt>
                <c:pt idx="61">
                  <c:v>379.16964116703338</c:v>
                </c:pt>
                <c:pt idx="62">
                  <c:v>377.207175618176</c:v>
                </c:pt>
                <c:pt idx="63">
                  <c:v>375.2644617084498</c:v>
                </c:pt>
                <c:pt idx="64">
                  <c:v>373.36927674650627</c:v>
                </c:pt>
                <c:pt idx="65">
                  <c:v>371.54199206606239</c:v>
                </c:pt>
                <c:pt idx="66">
                  <c:v>369.79111517605276</c:v>
                </c:pt>
                <c:pt idx="67">
                  <c:v>368.11629541010848</c:v>
                </c:pt>
                <c:pt idx="68">
                  <c:v>366.58188731012615</c:v>
                </c:pt>
                <c:pt idx="69">
                  <c:v>365.74104586475318</c:v>
                </c:pt>
                <c:pt idx="70">
                  <c:v>369.41381370618984</c:v>
                </c:pt>
                <c:pt idx="71">
                  <c:v>373.75768391033961</c:v>
                </c:pt>
                <c:pt idx="72">
                  <c:v>377.2064125484012</c:v>
                </c:pt>
                <c:pt idx="73">
                  <c:v>380.11241757808028</c:v>
                </c:pt>
                <c:pt idx="74">
                  <c:v>382.53910104774354</c:v>
                </c:pt>
                <c:pt idx="75">
                  <c:v>384.47981467747746</c:v>
                </c:pt>
                <c:pt idx="76">
                  <c:v>385.89768213625143</c:v>
                </c:pt>
                <c:pt idx="77">
                  <c:v>386.73728767877941</c:v>
                </c:pt>
                <c:pt idx="78">
                  <c:v>386.9286546254346</c:v>
                </c:pt>
                <c:pt idx="79">
                  <c:v>386.38850261884625</c:v>
                </c:pt>
                <c:pt idx="80">
                  <c:v>385.02044242240822</c:v>
                </c:pt>
                <c:pt idx="81">
                  <c:v>382.7148354503629</c:v>
                </c:pt>
                <c:pt idx="82">
                  <c:v>379.34874147289906</c:v>
                </c:pt>
                <c:pt idx="83">
                  <c:v>374.78627799833811</c:v>
                </c:pt>
                <c:pt idx="84">
                  <c:v>368.87968185963933</c:v>
                </c:pt>
                <c:pt idx="85">
                  <c:v>361.47133840185245</c:v>
                </c:pt>
                <c:pt idx="86">
                  <c:v>352.3969923890852</c:v>
                </c:pt>
                <c:pt idx="87">
                  <c:v>341.49026105452549</c:v>
                </c:pt>
                <c:pt idx="88">
                  <c:v>328.58841297761285</c:v>
                </c:pt>
                <c:pt idx="89">
                  <c:v>313.53919068029137</c:v>
                </c:pt>
                <c:pt idx="90">
                  <c:v>296.20825407995699</c:v>
                </c:pt>
                <c:pt idx="91">
                  <c:v>276.4866717341348</c:v>
                </c:pt>
                <c:pt idx="92">
                  <c:v>254.2977967484785</c:v>
                </c:pt>
                <c:pt idx="93">
                  <c:v>229.60284489962498</c:v>
                </c:pt>
                <c:pt idx="94">
                  <c:v>202.40494952377142</c:v>
                </c:pt>
                <c:pt idx="95">
                  <c:v>172.75599660559874</c:v>
                </c:pt>
                <c:pt idx="96">
                  <c:v>140.80976241237363</c:v>
                </c:pt>
                <c:pt idx="97">
                  <c:v>107.17632012508355</c:v>
                </c:pt>
                <c:pt idx="98">
                  <c:v>73.442655472046695</c:v>
                </c:pt>
                <c:pt idx="99">
                  <c:v>42.278207195640427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A8-47F4-B4FA-686C77DB7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46592"/>
        <c:axId val="2003838432"/>
      </c:scatterChart>
      <c:valAx>
        <c:axId val="2003846592"/>
        <c:scaling>
          <c:orientation val="minMax"/>
          <c:max val="1.2"/>
          <c:min val="-1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38432"/>
        <c:crosses val="autoZero"/>
        <c:crossBetween val="midCat"/>
        <c:majorUnit val="0.2"/>
      </c:valAx>
      <c:valAx>
        <c:axId val="200383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6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 da</a:t>
            </a:r>
            <a:r>
              <a:rPr lang="pt-BR" baseline="0"/>
              <a:t> Asa SEM  endplat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669033056033392E-2"/>
                  <c:y val="0.267773396789203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ESTOL'!$C$54:$C$103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ESTOL'!$G$54:$G$103</c:f>
              <c:numCache>
                <c:formatCode>General</c:formatCode>
                <c:ptCount val="50"/>
                <c:pt idx="0">
                  <c:v>393.22372867134771</c:v>
                </c:pt>
                <c:pt idx="1">
                  <c:v>392.96733475751734</c:v>
                </c:pt>
                <c:pt idx="2">
                  <c:v>392.45862433429403</c:v>
                </c:pt>
                <c:pt idx="3">
                  <c:v>391.705758602152</c:v>
                </c:pt>
                <c:pt idx="4">
                  <c:v>390.72098517234696</c:v>
                </c:pt>
                <c:pt idx="5">
                  <c:v>389.52061220999275</c:v>
                </c:pt>
                <c:pt idx="6">
                  <c:v>388.12492636011831</c:v>
                </c:pt>
                <c:pt idx="7">
                  <c:v>386.55801436394705</c:v>
                </c:pt>
                <c:pt idx="8">
                  <c:v>384.84744667474132</c:v>
                </c:pt>
                <c:pt idx="9">
                  <c:v>383.02377905833578</c:v>
                </c:pt>
                <c:pt idx="10">
                  <c:v>381.11982409610346</c:v>
                </c:pt>
                <c:pt idx="11">
                  <c:v>379.16964116703338</c:v>
                </c:pt>
                <c:pt idx="12">
                  <c:v>377.207175618176</c:v>
                </c:pt>
                <c:pt idx="13">
                  <c:v>375.2644617084498</c:v>
                </c:pt>
                <c:pt idx="14">
                  <c:v>373.36927674650627</c:v>
                </c:pt>
                <c:pt idx="15">
                  <c:v>371.54199206606239</c:v>
                </c:pt>
                <c:pt idx="16">
                  <c:v>369.79111517605276</c:v>
                </c:pt>
                <c:pt idx="17">
                  <c:v>368.11629541010848</c:v>
                </c:pt>
                <c:pt idx="18">
                  <c:v>366.58188731012615</c:v>
                </c:pt>
                <c:pt idx="19">
                  <c:v>365.74104586475318</c:v>
                </c:pt>
                <c:pt idx="20">
                  <c:v>369.41381370618984</c:v>
                </c:pt>
                <c:pt idx="21">
                  <c:v>373.75768391033961</c:v>
                </c:pt>
                <c:pt idx="22">
                  <c:v>377.2064125484012</c:v>
                </c:pt>
                <c:pt idx="23">
                  <c:v>380.11241757808028</c:v>
                </c:pt>
                <c:pt idx="24">
                  <c:v>382.53910104774354</c:v>
                </c:pt>
                <c:pt idx="25">
                  <c:v>384.47981467747746</c:v>
                </c:pt>
                <c:pt idx="26">
                  <c:v>385.89768213625143</c:v>
                </c:pt>
                <c:pt idx="27">
                  <c:v>386.73728767877941</c:v>
                </c:pt>
                <c:pt idx="28">
                  <c:v>386.9286546254346</c:v>
                </c:pt>
                <c:pt idx="29">
                  <c:v>386.38850261884625</c:v>
                </c:pt>
                <c:pt idx="30">
                  <c:v>385.02044242240822</c:v>
                </c:pt>
                <c:pt idx="31">
                  <c:v>382.7148354503629</c:v>
                </c:pt>
                <c:pt idx="32">
                  <c:v>379.34874147289906</c:v>
                </c:pt>
                <c:pt idx="33">
                  <c:v>374.78627799833811</c:v>
                </c:pt>
                <c:pt idx="34">
                  <c:v>368.87968185963933</c:v>
                </c:pt>
                <c:pt idx="35">
                  <c:v>361.47133840185245</c:v>
                </c:pt>
                <c:pt idx="36">
                  <c:v>352.3969923890852</c:v>
                </c:pt>
                <c:pt idx="37">
                  <c:v>341.49026105452549</c:v>
                </c:pt>
                <c:pt idx="38">
                  <c:v>328.58841297761285</c:v>
                </c:pt>
                <c:pt idx="39">
                  <c:v>313.53919068029137</c:v>
                </c:pt>
                <c:pt idx="40">
                  <c:v>296.20825407995699</c:v>
                </c:pt>
                <c:pt idx="41">
                  <c:v>276.4866717341348</c:v>
                </c:pt>
                <c:pt idx="42">
                  <c:v>254.2977967484785</c:v>
                </c:pt>
                <c:pt idx="43">
                  <c:v>229.60284489962498</c:v>
                </c:pt>
                <c:pt idx="44">
                  <c:v>202.40494952377142</c:v>
                </c:pt>
                <c:pt idx="45">
                  <c:v>172.75599660559874</c:v>
                </c:pt>
                <c:pt idx="46">
                  <c:v>140.80976241237363</c:v>
                </c:pt>
                <c:pt idx="47">
                  <c:v>107.17632012508355</c:v>
                </c:pt>
                <c:pt idx="48">
                  <c:v>73.442655472046695</c:v>
                </c:pt>
                <c:pt idx="49">
                  <c:v>42.278207195640427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11-4A22-969F-0E43605A4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842752"/>
        <c:axId val="2003842272"/>
      </c:scatterChart>
      <c:valAx>
        <c:axId val="2003842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2272"/>
        <c:crosses val="autoZero"/>
        <c:crossBetween val="midCat"/>
      </c:valAx>
      <c:valAx>
        <c:axId val="200384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[N/m}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384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Esforço Cortante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'Distrib. ASA INCD. ESTOL'!$AO$4:$AO$103</c:f>
              <c:numCache>
                <c:formatCode>General</c:formatCode>
                <c:ptCount val="100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ESTOL'!$AU$4:$AU$103</c:f>
              <c:numCache>
                <c:formatCode>0.000000000</c:formatCode>
                <c:ptCount val="100"/>
                <c:pt idx="0">
                  <c:v>5.0894990470000002E-3</c:v>
                </c:pt>
                <c:pt idx="1">
                  <c:v>3.1677101780000001E-2</c:v>
                </c:pt>
                <c:pt idx="2">
                  <c:v>9.6638669120000006E-2</c:v>
                </c:pt>
                <c:pt idx="3">
                  <c:v>0.21612833109999999</c:v>
                </c:pt>
                <c:pt idx="4">
                  <c:v>0.40473103560000001</c:v>
                </c:pt>
                <c:pt idx="5" formatCode="General">
                  <c:v>0.67567170860000003</c:v>
                </c:pt>
                <c:pt idx="6" formatCode="General">
                  <c:v>1.0409720419999999</c:v>
                </c:pt>
                <c:pt idx="7" formatCode="General">
                  <c:v>1.5114900229999999</c:v>
                </c:pt>
                <c:pt idx="8" formatCode="General">
                  <c:v>2.0969440659999998</c:v>
                </c:pt>
                <c:pt idx="9" formatCode="General">
                  <c:v>2.8059425779999998</c:v>
                </c:pt>
                <c:pt idx="10" formatCode="General">
                  <c:v>3.6460210910000002</c:v>
                </c:pt>
                <c:pt idx="11" formatCode="General">
                  <c:v>4.6236843040000002</c:v>
                </c:pt>
                <c:pt idx="12" formatCode="General">
                  <c:v>5.7444480330000003</c:v>
                </c:pt>
                <c:pt idx="13" formatCode="General">
                  <c:v>7.0128751490000001</c:v>
                </c:pt>
                <c:pt idx="14" formatCode="General">
                  <c:v>8.4326002869999996</c:v>
                </c:pt>
                <c:pt idx="15" formatCode="General">
                  <c:v>10.00634009</c:v>
                </c:pt>
                <c:pt idx="16" formatCode="General">
                  <c:v>11.73588807</c:v>
                </c:pt>
                <c:pt idx="17" formatCode="General">
                  <c:v>13.62209539</c:v>
                </c:pt>
                <c:pt idx="18" formatCode="General">
                  <c:v>15.66484026</c:v>
                </c:pt>
                <c:pt idx="19" formatCode="General">
                  <c:v>17.86298966</c:v>
                </c:pt>
                <c:pt idx="20" formatCode="General">
                  <c:v>20.214357119999999</c:v>
                </c:pt>
                <c:pt idx="21" formatCode="General">
                  <c:v>22.715660209999999</c:v>
                </c:pt>
                <c:pt idx="22" formatCode="General">
                  <c:v>25.362480470000001</c:v>
                </c:pt>
                <c:pt idx="23" formatCode="General">
                  <c:v>28.149227490000001</c:v>
                </c:pt>
                <c:pt idx="24" formatCode="General">
                  <c:v>31.069106080000001</c:v>
                </c:pt>
                <c:pt idx="25" formatCode="General">
                  <c:v>34.1140811</c:v>
                </c:pt>
                <c:pt idx="26" formatCode="General">
                  <c:v>37.274822229999998</c:v>
                </c:pt>
                <c:pt idx="27" formatCode="General">
                  <c:v>40.540575590000003</c:v>
                </c:pt>
                <c:pt idx="28" formatCode="General">
                  <c:v>43.89876469</c:v>
                </c:pt>
                <c:pt idx="29" formatCode="General">
                  <c:v>47.333140980000003</c:v>
                </c:pt>
                <c:pt idx="30" formatCode="General">
                  <c:v>47.468485459999997</c:v>
                </c:pt>
                <c:pt idx="31" formatCode="General">
                  <c:v>47.875014290000003</c:v>
                </c:pt>
                <c:pt idx="32" formatCode="General">
                  <c:v>48.552206239999997</c:v>
                </c:pt>
                <c:pt idx="33" formatCode="General">
                  <c:v>49.497962010000002</c:v>
                </c:pt>
                <c:pt idx="34" formatCode="General">
                  <c:v>50.708637850000002</c:v>
                </c:pt>
                <c:pt idx="35" formatCode="General">
                  <c:v>52.179057309999997</c:v>
                </c:pt>
                <c:pt idx="36" formatCode="General">
                  <c:v>53.902481829999999</c:v>
                </c:pt>
                <c:pt idx="37" formatCode="General">
                  <c:v>55.870554470000002</c:v>
                </c:pt>
                <c:pt idx="38" formatCode="General">
                  <c:v>58.07324345</c:v>
                </c:pt>
                <c:pt idx="39" formatCode="General">
                  <c:v>60.49880314</c:v>
                </c:pt>
                <c:pt idx="40" formatCode="General">
                  <c:v>63.133762089999998</c:v>
                </c:pt>
                <c:pt idx="41" formatCode="General">
                  <c:v>65.962943390000007</c:v>
                </c:pt>
                <c:pt idx="42" formatCode="General">
                  <c:v>68.969519539999993</c:v>
                </c:pt>
                <c:pt idx="43" formatCode="General">
                  <c:v>72.135101820000003</c:v>
                </c:pt>
                <c:pt idx="44" formatCode="General">
                  <c:v>75.439862300000001</c:v>
                </c:pt>
                <c:pt idx="45" formatCode="General">
                  <c:v>78.862685380000002</c:v>
                </c:pt>
                <c:pt idx="46" formatCode="General">
                  <c:v>82.381344609999999</c:v>
                </c:pt>
                <c:pt idx="47" formatCode="General">
                  <c:v>85.972700619999998</c:v>
                </c:pt>
                <c:pt idx="48" formatCode="General">
                  <c:v>89.612915380000004</c:v>
                </c:pt>
                <c:pt idx="49" formatCode="General">
                  <c:v>93.277678559999998</c:v>
                </c:pt>
                <c:pt idx="50" formatCode="General">
                  <c:v>-93.277678559999998</c:v>
                </c:pt>
                <c:pt idx="51" formatCode="General">
                  <c:v>-89.612915380000004</c:v>
                </c:pt>
                <c:pt idx="52" formatCode="General">
                  <c:v>-85.972700619999998</c:v>
                </c:pt>
                <c:pt idx="53" formatCode="General">
                  <c:v>-82.381344609999999</c:v>
                </c:pt>
                <c:pt idx="54" formatCode="General">
                  <c:v>-78.862685380000002</c:v>
                </c:pt>
                <c:pt idx="55" formatCode="General">
                  <c:v>-75.439862300000001</c:v>
                </c:pt>
                <c:pt idx="56" formatCode="General">
                  <c:v>-72.135101820000003</c:v>
                </c:pt>
                <c:pt idx="57" formatCode="General">
                  <c:v>-68.969519539999993</c:v>
                </c:pt>
                <c:pt idx="58" formatCode="General">
                  <c:v>-65.962943390000007</c:v>
                </c:pt>
                <c:pt idx="59" formatCode="General">
                  <c:v>-63.133762089999998</c:v>
                </c:pt>
                <c:pt idx="60" formatCode="General">
                  <c:v>-60.49880314</c:v>
                </c:pt>
                <c:pt idx="61" formatCode="General">
                  <c:v>-58.07324345</c:v>
                </c:pt>
                <c:pt idx="62" formatCode="General">
                  <c:v>-55.870554470000002</c:v>
                </c:pt>
                <c:pt idx="63" formatCode="General">
                  <c:v>-53.902481829999999</c:v>
                </c:pt>
                <c:pt idx="64" formatCode="General">
                  <c:v>-52.179057309999997</c:v>
                </c:pt>
                <c:pt idx="65" formatCode="General">
                  <c:v>-50.708637850000002</c:v>
                </c:pt>
                <c:pt idx="66" formatCode="General">
                  <c:v>-49.497962010000002</c:v>
                </c:pt>
                <c:pt idx="67" formatCode="General">
                  <c:v>-48.552206239999997</c:v>
                </c:pt>
                <c:pt idx="68" formatCode="General">
                  <c:v>-47.875014290000003</c:v>
                </c:pt>
                <c:pt idx="69" formatCode="General">
                  <c:v>-47.468485459999997</c:v>
                </c:pt>
                <c:pt idx="70" formatCode="General">
                  <c:v>-47.333140980000003</c:v>
                </c:pt>
                <c:pt idx="71" formatCode="General">
                  <c:v>-43.89876469</c:v>
                </c:pt>
                <c:pt idx="72" formatCode="General">
                  <c:v>-40.540575590000003</c:v>
                </c:pt>
                <c:pt idx="73" formatCode="General">
                  <c:v>-37.274822229999998</c:v>
                </c:pt>
                <c:pt idx="74" formatCode="General">
                  <c:v>-34.1140811</c:v>
                </c:pt>
                <c:pt idx="75" formatCode="General">
                  <c:v>-31.069106080000001</c:v>
                </c:pt>
                <c:pt idx="76" formatCode="General">
                  <c:v>-28.149227490000001</c:v>
                </c:pt>
                <c:pt idx="77" formatCode="General">
                  <c:v>-25.362480470000001</c:v>
                </c:pt>
                <c:pt idx="78" formatCode="General">
                  <c:v>-22.715660209999999</c:v>
                </c:pt>
                <c:pt idx="79" formatCode="General">
                  <c:v>-20.214357119999999</c:v>
                </c:pt>
                <c:pt idx="80" formatCode="General">
                  <c:v>-17.86298966</c:v>
                </c:pt>
                <c:pt idx="81" formatCode="General">
                  <c:v>-15.66484026</c:v>
                </c:pt>
                <c:pt idx="82" formatCode="General">
                  <c:v>-13.62209539</c:v>
                </c:pt>
                <c:pt idx="83" formatCode="General">
                  <c:v>-11.73588807</c:v>
                </c:pt>
                <c:pt idx="84" formatCode="General">
                  <c:v>-10.00634009</c:v>
                </c:pt>
                <c:pt idx="85" formatCode="General">
                  <c:v>-8.4326002869999996</c:v>
                </c:pt>
                <c:pt idx="86" formatCode="General">
                  <c:v>-7.0128751490000001</c:v>
                </c:pt>
                <c:pt idx="87" formatCode="General">
                  <c:v>-5.7444480330000003</c:v>
                </c:pt>
                <c:pt idx="88" formatCode="General">
                  <c:v>-4.6236843040000002</c:v>
                </c:pt>
                <c:pt idx="89" formatCode="General">
                  <c:v>-3.6460210910000002</c:v>
                </c:pt>
                <c:pt idx="90" formatCode="General">
                  <c:v>-2.8059425779999998</c:v>
                </c:pt>
                <c:pt idx="91" formatCode="General">
                  <c:v>-2.0969440659999998</c:v>
                </c:pt>
                <c:pt idx="92" formatCode="General">
                  <c:v>-1.5114900229999999</c:v>
                </c:pt>
                <c:pt idx="93" formatCode="General">
                  <c:v>-1.0409720419999999</c:v>
                </c:pt>
                <c:pt idx="94" formatCode="General">
                  <c:v>-0.67567170860000003</c:v>
                </c:pt>
                <c:pt idx="95" formatCode="General">
                  <c:v>-0.40473103560000001</c:v>
                </c:pt>
                <c:pt idx="96" formatCode="General">
                  <c:v>-0.21612833109999999</c:v>
                </c:pt>
                <c:pt idx="97" formatCode="General">
                  <c:v>-9.6638669120000006E-2</c:v>
                </c:pt>
                <c:pt idx="98" formatCode="General">
                  <c:v>-3.1677101780000001E-2</c:v>
                </c:pt>
                <c:pt idx="99" formatCode="General">
                  <c:v>-5.0894990470000002E-3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C3-4061-83B5-97A37A580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348704"/>
        <c:axId val="1427349664"/>
      </c:scatterChart>
      <c:valAx>
        <c:axId val="142734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7349664"/>
        <c:crosses val="autoZero"/>
        <c:crossBetween val="midCat"/>
        <c:majorUnit val="0.2"/>
      </c:valAx>
      <c:valAx>
        <c:axId val="142734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7348704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Esforço Cortante x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3.5268009790528784E-2"/>
                  <c:y val="0.305688349700309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ESTOL'!$AO$54:$AO$103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ESTOL'!$AU$54:$AU$103</c:f>
              <c:numCache>
                <c:formatCode>General</c:formatCode>
                <c:ptCount val="50"/>
                <c:pt idx="0">
                  <c:v>-93.277678559999998</c:v>
                </c:pt>
                <c:pt idx="1">
                  <c:v>-89.612915380000004</c:v>
                </c:pt>
                <c:pt idx="2">
                  <c:v>-85.972700619999998</c:v>
                </c:pt>
                <c:pt idx="3">
                  <c:v>-82.381344609999999</c:v>
                </c:pt>
                <c:pt idx="4">
                  <c:v>-78.862685380000002</c:v>
                </c:pt>
                <c:pt idx="5">
                  <c:v>-75.439862300000001</c:v>
                </c:pt>
                <c:pt idx="6">
                  <c:v>-72.135101820000003</c:v>
                </c:pt>
                <c:pt idx="7">
                  <c:v>-68.969519539999993</c:v>
                </c:pt>
                <c:pt idx="8">
                  <c:v>-65.962943390000007</c:v>
                </c:pt>
                <c:pt idx="9">
                  <c:v>-63.133762089999998</c:v>
                </c:pt>
                <c:pt idx="10">
                  <c:v>-60.49880314</c:v>
                </c:pt>
                <c:pt idx="11">
                  <c:v>-58.07324345</c:v>
                </c:pt>
                <c:pt idx="12">
                  <c:v>-55.870554470000002</c:v>
                </c:pt>
                <c:pt idx="13">
                  <c:v>-53.902481829999999</c:v>
                </c:pt>
                <c:pt idx="14">
                  <c:v>-52.179057309999997</c:v>
                </c:pt>
                <c:pt idx="15">
                  <c:v>-50.708637850000002</c:v>
                </c:pt>
                <c:pt idx="16">
                  <c:v>-49.497962010000002</c:v>
                </c:pt>
                <c:pt idx="17">
                  <c:v>-48.552206239999997</c:v>
                </c:pt>
                <c:pt idx="18">
                  <c:v>-47.875014290000003</c:v>
                </c:pt>
                <c:pt idx="19">
                  <c:v>-47.468485459999997</c:v>
                </c:pt>
                <c:pt idx="20">
                  <c:v>-47.333140980000003</c:v>
                </c:pt>
                <c:pt idx="21">
                  <c:v>-43.89876469</c:v>
                </c:pt>
                <c:pt idx="22">
                  <c:v>-40.540575590000003</c:v>
                </c:pt>
                <c:pt idx="23">
                  <c:v>-37.274822229999998</c:v>
                </c:pt>
                <c:pt idx="24">
                  <c:v>-34.1140811</c:v>
                </c:pt>
                <c:pt idx="25">
                  <c:v>-31.069106080000001</c:v>
                </c:pt>
                <c:pt idx="26">
                  <c:v>-28.149227490000001</c:v>
                </c:pt>
                <c:pt idx="27">
                  <c:v>-25.362480470000001</c:v>
                </c:pt>
                <c:pt idx="28">
                  <c:v>-22.715660209999999</c:v>
                </c:pt>
                <c:pt idx="29">
                  <c:v>-20.214357119999999</c:v>
                </c:pt>
                <c:pt idx="30">
                  <c:v>-17.86298966</c:v>
                </c:pt>
                <c:pt idx="31">
                  <c:v>-15.66484026</c:v>
                </c:pt>
                <c:pt idx="32">
                  <c:v>-13.62209539</c:v>
                </c:pt>
                <c:pt idx="33">
                  <c:v>-11.73588807</c:v>
                </c:pt>
                <c:pt idx="34">
                  <c:v>-10.00634009</c:v>
                </c:pt>
                <c:pt idx="35">
                  <c:v>-8.4326002869999996</c:v>
                </c:pt>
                <c:pt idx="36">
                  <c:v>-7.0128751490000001</c:v>
                </c:pt>
                <c:pt idx="37">
                  <c:v>-5.7444480330000003</c:v>
                </c:pt>
                <c:pt idx="38">
                  <c:v>-4.6236843040000002</c:v>
                </c:pt>
                <c:pt idx="39">
                  <c:v>-3.6460210910000002</c:v>
                </c:pt>
                <c:pt idx="40">
                  <c:v>-2.8059425779999998</c:v>
                </c:pt>
                <c:pt idx="41">
                  <c:v>-2.0969440659999998</c:v>
                </c:pt>
                <c:pt idx="42">
                  <c:v>-1.5114900229999999</c:v>
                </c:pt>
                <c:pt idx="43">
                  <c:v>-1.0409720419999999</c:v>
                </c:pt>
                <c:pt idx="44">
                  <c:v>-0.67567170860000003</c:v>
                </c:pt>
                <c:pt idx="45">
                  <c:v>-0.40473103560000001</c:v>
                </c:pt>
                <c:pt idx="46">
                  <c:v>-0.21612833109999999</c:v>
                </c:pt>
                <c:pt idx="47">
                  <c:v>-9.6638669120000006E-2</c:v>
                </c:pt>
                <c:pt idx="48">
                  <c:v>-3.1677101780000001E-2</c:v>
                </c:pt>
                <c:pt idx="49">
                  <c:v>-5.0894990470000002E-3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58-4B8B-86DB-C69191872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727456"/>
        <c:axId val="1575717856"/>
      </c:scatterChart>
      <c:valAx>
        <c:axId val="157572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[m/2]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717856"/>
        <c:crosses val="autoZero"/>
        <c:crossBetween val="midCat"/>
      </c:valAx>
      <c:valAx>
        <c:axId val="15757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Esforço Cortante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572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'Distrib. ASA INCD. ESTOL'!$AO$4:$AO$103</c:f>
              <c:numCache>
                <c:formatCode>General</c:formatCode>
                <c:ptCount val="100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ESTOL'!$AV$4:$AV$103</c:f>
              <c:numCache>
                <c:formatCode>0.000000000</c:formatCode>
                <c:ptCount val="100"/>
                <c:pt idx="0">
                  <c:v>-3.6600000000000001E-6</c:v>
                </c:pt>
                <c:pt idx="1">
                  <c:v>-7.2000000000000002E-5</c:v>
                </c:pt>
                <c:pt idx="2">
                  <c:v>-4.1867633389999998E-4</c:v>
                </c:pt>
                <c:pt idx="3">
                  <c:v>-1.50123903E-3</c:v>
                </c:pt>
                <c:pt idx="4">
                  <c:v>-4.0981680289999996E-3</c:v>
                </c:pt>
                <c:pt idx="5" formatCode="General">
                  <c:v>-9.3727233770000001E-3</c:v>
                </c:pt>
                <c:pt idx="6" formatCode="General">
                  <c:v>-1.8923586839999999E-2</c:v>
                </c:pt>
                <c:pt idx="7" formatCode="General">
                  <c:v>-3.4821981000000002E-2</c:v>
                </c:pt>
                <c:pt idx="8" formatCode="General">
                  <c:v>-5.9634994439999998E-2</c:v>
                </c:pt>
                <c:pt idx="9" formatCode="General">
                  <c:v>-9.6435178869999999E-2</c:v>
                </c:pt>
                <c:pt idx="10" formatCode="General">
                  <c:v>-0.14879674079999999</c:v>
                </c:pt>
                <c:pt idx="11" formatCode="General">
                  <c:v>-0.22077884119999999</c:v>
                </c:pt>
                <c:pt idx="12" formatCode="General">
                  <c:v>-0.31689662470000002</c:v>
                </c:pt>
                <c:pt idx="13" formatCode="General">
                  <c:v>-0.44208062850000002</c:v>
                </c:pt>
                <c:pt idx="14" formatCode="General">
                  <c:v>-0.6016252004</c:v>
                </c:pt>
                <c:pt idx="15" formatCode="General">
                  <c:v>-0.80112652370000004</c:v>
                </c:pt>
                <c:pt idx="16" formatCode="General">
                  <c:v>-1.046410845</c:v>
                </c:pt>
                <c:pt idx="17" formatCode="General">
                  <c:v>-1.3434535460000001</c:v>
                </c:pt>
                <c:pt idx="18" formatCode="General">
                  <c:v>-1.6982898120000001</c:v>
                </c:pt>
                <c:pt idx="19" formatCode="General">
                  <c:v>-2.1169177879999999</c:v>
                </c:pt>
                <c:pt idx="20" formatCode="General">
                  <c:v>-2.6051953339999998</c:v>
                </c:pt>
                <c:pt idx="21" formatCode="General">
                  <c:v>-3.168731674</c:v>
                </c:pt>
                <c:pt idx="22" formatCode="General">
                  <c:v>-3.812775448</c:v>
                </c:pt>
                <c:pt idx="23" formatCode="General">
                  <c:v>-4.5421008609999998</c:v>
                </c:pt>
                <c:pt idx="24" formatCode="General">
                  <c:v>-5.3608937020000003</c:v>
                </c:pt>
                <c:pt idx="25" formatCode="General">
                  <c:v>-6.2726389490000001</c:v>
                </c:pt>
                <c:pt idx="26" formatCode="General">
                  <c:v>-7.280011279</c:v>
                </c:pt>
                <c:pt idx="27" formatCode="General">
                  <c:v>-8.3847683530000001</c:v>
                </c:pt>
                <c:pt idx="28" formatCode="General">
                  <c:v>-9.5876413100000004</c:v>
                </c:pt>
                <c:pt idx="29" formatCode="General">
                  <c:v>-10.888184539999999</c:v>
                </c:pt>
                <c:pt idx="30" formatCode="General">
                  <c:v>-10.93939986</c:v>
                </c:pt>
                <c:pt idx="31" formatCode="General">
                  <c:v>-11.09404322</c:v>
                </c:pt>
                <c:pt idx="32" formatCode="General">
                  <c:v>-11.35435331</c:v>
                </c:pt>
                <c:pt idx="33" formatCode="General">
                  <c:v>-11.723592829999999</c:v>
                </c:pt>
                <c:pt idx="34" formatCode="General">
                  <c:v>-12.20593057</c:v>
                </c:pt>
                <c:pt idx="35" formatCode="General">
                  <c:v>-12.806279480000001</c:v>
                </c:pt>
                <c:pt idx="36" formatCode="General">
                  <c:v>-13.530094180000001</c:v>
                </c:pt>
                <c:pt idx="37" formatCode="General">
                  <c:v>-14.38313192</c:v>
                </c:pt>
                <c:pt idx="38" formatCode="General">
                  <c:v>-15.371181959999999</c:v>
                </c:pt>
                <c:pt idx="39" formatCode="General">
                  <c:v>-16.499769870000002</c:v>
                </c:pt>
                <c:pt idx="40" formatCode="General">
                  <c:v>-17.773844319999998</c:v>
                </c:pt>
                <c:pt idx="41" formatCode="General">
                  <c:v>-19.19745515</c:v>
                </c:pt>
                <c:pt idx="42" formatCode="General">
                  <c:v>-20.77343217</c:v>
                </c:pt>
                <c:pt idx="43" formatCode="General">
                  <c:v>-22.503074850000001</c:v>
                </c:pt>
                <c:pt idx="44" formatCode="General">
                  <c:v>-24.385863220000001</c:v>
                </c:pt>
                <c:pt idx="45" formatCode="General">
                  <c:v>-26.419199819999999</c:v>
                </c:pt>
                <c:pt idx="46" formatCode="General">
                  <c:v>-28.5981922</c:v>
                </c:pt>
                <c:pt idx="47" formatCode="General">
                  <c:v>-30.91548444</c:v>
                </c:pt>
                <c:pt idx="48" formatCode="General">
                  <c:v>-33.361144500000002</c:v>
                </c:pt>
                <c:pt idx="49" formatCode="General">
                  <c:v>-35.922613300000002</c:v>
                </c:pt>
                <c:pt idx="50" formatCode="General">
                  <c:v>-35.922613300000002</c:v>
                </c:pt>
                <c:pt idx="51" formatCode="General">
                  <c:v>-33.361144500000002</c:v>
                </c:pt>
                <c:pt idx="52" formatCode="General">
                  <c:v>-30.91548444</c:v>
                </c:pt>
                <c:pt idx="53" formatCode="General">
                  <c:v>-28.5981922</c:v>
                </c:pt>
                <c:pt idx="54" formatCode="General">
                  <c:v>-26.419199819999999</c:v>
                </c:pt>
                <c:pt idx="55" formatCode="General">
                  <c:v>-24.385863220000001</c:v>
                </c:pt>
                <c:pt idx="56" formatCode="General">
                  <c:v>-22.503074850000001</c:v>
                </c:pt>
                <c:pt idx="57" formatCode="General">
                  <c:v>-20.77343217</c:v>
                </c:pt>
                <c:pt idx="58" formatCode="General">
                  <c:v>-19.19745515</c:v>
                </c:pt>
                <c:pt idx="59" formatCode="General">
                  <c:v>-17.773844319999998</c:v>
                </c:pt>
                <c:pt idx="60" formatCode="General">
                  <c:v>-16.499769870000002</c:v>
                </c:pt>
                <c:pt idx="61" formatCode="General">
                  <c:v>-15.371181959999999</c:v>
                </c:pt>
                <c:pt idx="62" formatCode="General">
                  <c:v>-14.38313192</c:v>
                </c:pt>
                <c:pt idx="63" formatCode="General">
                  <c:v>-13.530094180000001</c:v>
                </c:pt>
                <c:pt idx="64" formatCode="General">
                  <c:v>-12.806279480000001</c:v>
                </c:pt>
                <c:pt idx="65" formatCode="General">
                  <c:v>-12.20593057</c:v>
                </c:pt>
                <c:pt idx="66" formatCode="General">
                  <c:v>-11.723592829999999</c:v>
                </c:pt>
                <c:pt idx="67" formatCode="General">
                  <c:v>-11.35435331</c:v>
                </c:pt>
                <c:pt idx="68" formatCode="General">
                  <c:v>-11.09404322</c:v>
                </c:pt>
                <c:pt idx="69" formatCode="General">
                  <c:v>-10.93939986</c:v>
                </c:pt>
                <c:pt idx="70" formatCode="General">
                  <c:v>-10.888184539999999</c:v>
                </c:pt>
                <c:pt idx="71" formatCode="General">
                  <c:v>-9.5876413100000004</c:v>
                </c:pt>
                <c:pt idx="72" formatCode="General">
                  <c:v>-8.3847683530000001</c:v>
                </c:pt>
                <c:pt idx="73" formatCode="General">
                  <c:v>-7.280011279</c:v>
                </c:pt>
                <c:pt idx="74" formatCode="General">
                  <c:v>-6.2726389490000001</c:v>
                </c:pt>
                <c:pt idx="75" formatCode="General">
                  <c:v>-5.3608937020000003</c:v>
                </c:pt>
                <c:pt idx="76" formatCode="General">
                  <c:v>-4.5421008609999998</c:v>
                </c:pt>
                <c:pt idx="77" formatCode="General">
                  <c:v>-3.812775448</c:v>
                </c:pt>
                <c:pt idx="78" formatCode="General">
                  <c:v>-3.168731674</c:v>
                </c:pt>
                <c:pt idx="79" formatCode="General">
                  <c:v>-2.6051953339999998</c:v>
                </c:pt>
                <c:pt idx="80" formatCode="General">
                  <c:v>-2.1169177879999999</c:v>
                </c:pt>
                <c:pt idx="81" formatCode="General">
                  <c:v>-1.6982898120000001</c:v>
                </c:pt>
                <c:pt idx="82" formatCode="General">
                  <c:v>-1.3434535460000001</c:v>
                </c:pt>
                <c:pt idx="83" formatCode="General">
                  <c:v>-1.046410845</c:v>
                </c:pt>
                <c:pt idx="84" formatCode="General">
                  <c:v>-0.80112652370000004</c:v>
                </c:pt>
                <c:pt idx="85" formatCode="General">
                  <c:v>-0.6016252004</c:v>
                </c:pt>
                <c:pt idx="86" formatCode="General">
                  <c:v>-0.44208062850000002</c:v>
                </c:pt>
                <c:pt idx="87" formatCode="General">
                  <c:v>-0.31689662470000002</c:v>
                </c:pt>
                <c:pt idx="88" formatCode="General">
                  <c:v>-0.22077884119999999</c:v>
                </c:pt>
                <c:pt idx="89" formatCode="General">
                  <c:v>-0.14879674079999999</c:v>
                </c:pt>
                <c:pt idx="90" formatCode="General">
                  <c:v>-9.6435178869999999E-2</c:v>
                </c:pt>
                <c:pt idx="91" formatCode="General">
                  <c:v>-5.9634994439999998E-2</c:v>
                </c:pt>
                <c:pt idx="92" formatCode="General">
                  <c:v>-3.4821981000000002E-2</c:v>
                </c:pt>
                <c:pt idx="93" formatCode="General">
                  <c:v>-1.8923586839999999E-2</c:v>
                </c:pt>
                <c:pt idx="94" formatCode="General">
                  <c:v>-9.3727233770000001E-3</c:v>
                </c:pt>
                <c:pt idx="95" formatCode="General">
                  <c:v>-4.0981680289999996E-3</c:v>
                </c:pt>
                <c:pt idx="96" formatCode="General">
                  <c:v>-1.50123903E-3</c:v>
                </c:pt>
                <c:pt idx="97" formatCode="General">
                  <c:v>-4.1867633389999998E-4</c:v>
                </c:pt>
                <c:pt idx="98" formatCode="0.00000000">
                  <c:v>-7.2000000000000002E-5</c:v>
                </c:pt>
                <c:pt idx="99" formatCode="0.00000000">
                  <c:v>-3.6600000000000001E-6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FF-4477-9499-8FDD0D8701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366992"/>
        <c:axId val="1419364592"/>
      </c:scatterChart>
      <c:valAx>
        <c:axId val="14193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364592"/>
        <c:crosses val="autoZero"/>
        <c:crossBetween val="midCat"/>
        <c:majorUnit val="0.2"/>
      </c:valAx>
      <c:valAx>
        <c:axId val="141936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936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Momento Fletor x Envergadura</a:t>
            </a:r>
            <a:endParaRPr lang="pt-BR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7633588510605249E-4"/>
                  <c:y val="0.191082185238120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ESTOL'!$AO$54:$AO$103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ESTOL'!$AV$54:$AV$103</c:f>
              <c:numCache>
                <c:formatCode>General</c:formatCode>
                <c:ptCount val="50"/>
                <c:pt idx="0">
                  <c:v>-35.922613300000002</c:v>
                </c:pt>
                <c:pt idx="1">
                  <c:v>-33.361144500000002</c:v>
                </c:pt>
                <c:pt idx="2">
                  <c:v>-30.91548444</c:v>
                </c:pt>
                <c:pt idx="3">
                  <c:v>-28.5981922</c:v>
                </c:pt>
                <c:pt idx="4">
                  <c:v>-26.419199819999999</c:v>
                </c:pt>
                <c:pt idx="5">
                  <c:v>-24.385863220000001</c:v>
                </c:pt>
                <c:pt idx="6">
                  <c:v>-22.503074850000001</c:v>
                </c:pt>
                <c:pt idx="7">
                  <c:v>-20.77343217</c:v>
                </c:pt>
                <c:pt idx="8">
                  <c:v>-19.19745515</c:v>
                </c:pt>
                <c:pt idx="9">
                  <c:v>-17.773844319999998</c:v>
                </c:pt>
                <c:pt idx="10">
                  <c:v>-16.499769870000002</c:v>
                </c:pt>
                <c:pt idx="11">
                  <c:v>-15.371181959999999</c:v>
                </c:pt>
                <c:pt idx="12">
                  <c:v>-14.38313192</c:v>
                </c:pt>
                <c:pt idx="13">
                  <c:v>-13.530094180000001</c:v>
                </c:pt>
                <c:pt idx="14">
                  <c:v>-12.806279480000001</c:v>
                </c:pt>
                <c:pt idx="15">
                  <c:v>-12.20593057</c:v>
                </c:pt>
                <c:pt idx="16">
                  <c:v>-11.723592829999999</c:v>
                </c:pt>
                <c:pt idx="17">
                  <c:v>-11.35435331</c:v>
                </c:pt>
                <c:pt idx="18">
                  <c:v>-11.09404322</c:v>
                </c:pt>
                <c:pt idx="19">
                  <c:v>-10.93939986</c:v>
                </c:pt>
                <c:pt idx="20">
                  <c:v>-10.888184539999999</c:v>
                </c:pt>
                <c:pt idx="21">
                  <c:v>-9.5876413100000004</c:v>
                </c:pt>
                <c:pt idx="22">
                  <c:v>-8.3847683530000001</c:v>
                </c:pt>
                <c:pt idx="23">
                  <c:v>-7.280011279</c:v>
                </c:pt>
                <c:pt idx="24">
                  <c:v>-6.2726389490000001</c:v>
                </c:pt>
                <c:pt idx="25">
                  <c:v>-5.3608937020000003</c:v>
                </c:pt>
                <c:pt idx="26">
                  <c:v>-4.5421008609999998</c:v>
                </c:pt>
                <c:pt idx="27">
                  <c:v>-3.812775448</c:v>
                </c:pt>
                <c:pt idx="28">
                  <c:v>-3.168731674</c:v>
                </c:pt>
                <c:pt idx="29">
                  <c:v>-2.6051953339999998</c:v>
                </c:pt>
                <c:pt idx="30">
                  <c:v>-2.1169177879999999</c:v>
                </c:pt>
                <c:pt idx="31">
                  <c:v>-1.6982898120000001</c:v>
                </c:pt>
                <c:pt idx="32">
                  <c:v>-1.3434535460000001</c:v>
                </c:pt>
                <c:pt idx="33">
                  <c:v>-1.046410845</c:v>
                </c:pt>
                <c:pt idx="34">
                  <c:v>-0.80112652370000004</c:v>
                </c:pt>
                <c:pt idx="35">
                  <c:v>-0.6016252004</c:v>
                </c:pt>
                <c:pt idx="36">
                  <c:v>-0.44208062850000002</c:v>
                </c:pt>
                <c:pt idx="37">
                  <c:v>-0.31689662470000002</c:v>
                </c:pt>
                <c:pt idx="38">
                  <c:v>-0.22077884119999999</c:v>
                </c:pt>
                <c:pt idx="39">
                  <c:v>-0.14879674079999999</c:v>
                </c:pt>
                <c:pt idx="40">
                  <c:v>-9.6435178869999999E-2</c:v>
                </c:pt>
                <c:pt idx="41">
                  <c:v>-5.9634994439999998E-2</c:v>
                </c:pt>
                <c:pt idx="42">
                  <c:v>-3.4821981000000002E-2</c:v>
                </c:pt>
                <c:pt idx="43">
                  <c:v>-1.8923586839999999E-2</c:v>
                </c:pt>
                <c:pt idx="44">
                  <c:v>-9.3727233770000001E-3</c:v>
                </c:pt>
                <c:pt idx="45">
                  <c:v>-4.0981680289999996E-3</c:v>
                </c:pt>
                <c:pt idx="46">
                  <c:v>-1.50123903E-3</c:v>
                </c:pt>
                <c:pt idx="47">
                  <c:v>-4.1867633389999998E-4</c:v>
                </c:pt>
                <c:pt idx="48" formatCode="0.00000000">
                  <c:v>-7.2000000000000002E-5</c:v>
                </c:pt>
                <c:pt idx="49" formatCode="0.00000000">
                  <c:v>-3.6600000000000001E-6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FD-4F52-BAE3-D14169FCB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886256"/>
        <c:axId val="1408639856"/>
      </c:scatterChart>
      <c:valAx>
        <c:axId val="141088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[m/2]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39856"/>
        <c:crosses val="autoZero"/>
        <c:crossBetween val="midCat"/>
      </c:valAx>
      <c:valAx>
        <c:axId val="140863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Momento Fletor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0886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de Sustentação da Asa SEM endplat vs Envergadura Total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ESTOL'!$AO$4:$AO$254</c:f>
              <c:numCache>
                <c:formatCode>General</c:formatCode>
                <c:ptCount val="251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ESTOL'!$AS$4:$AS$254</c:f>
              <c:numCache>
                <c:formatCode>0.00</c:formatCode>
                <c:ptCount val="251"/>
                <c:pt idx="0">
                  <c:v>46.916419704663561</c:v>
                </c:pt>
                <c:pt idx="1">
                  <c:v>81.483605402934998</c:v>
                </c:pt>
                <c:pt idx="2">
                  <c:v>118.88090494144882</c:v>
                </c:pt>
                <c:pt idx="3">
                  <c:v>155.64923938802895</c:v>
                </c:pt>
                <c:pt idx="4">
                  <c:v>190.22819030614016</c:v>
                </c:pt>
                <c:pt idx="5">
                  <c:v>222.17548875872154</c:v>
                </c:pt>
                <c:pt idx="6">
                  <c:v>251.35164739219968</c:v>
                </c:pt>
                <c:pt idx="7">
                  <c:v>277.6980086131702</c:v>
                </c:pt>
                <c:pt idx="8">
                  <c:v>301.21508592851558</c:v>
                </c:pt>
                <c:pt idx="9">
                  <c:v>321.95818875055517</c:v>
                </c:pt>
                <c:pt idx="10">
                  <c:v>340.03138422431851</c:v>
                </c:pt>
                <c:pt idx="11">
                  <c:v>355.57892347840209</c:v>
                </c:pt>
                <c:pt idx="12">
                  <c:v>368.77493749563189</c:v>
                </c:pt>
                <c:pt idx="13">
                  <c:v>379.8124848174715</c:v>
                </c:pt>
                <c:pt idx="14">
                  <c:v>388.89307455098162</c:v>
                </c:pt>
                <c:pt idx="15">
                  <c:v>396.21759959496404</c:v>
                </c:pt>
                <c:pt idx="16">
                  <c:v>401.97922932702107</c:v>
                </c:pt>
                <c:pt idx="17">
                  <c:v>406.35841311622045</c:v>
                </c:pt>
                <c:pt idx="18">
                  <c:v>409.51983080400385</c:v>
                </c:pt>
                <c:pt idx="19">
                  <c:v>411.6109381796004</c:v>
                </c:pt>
                <c:pt idx="20">
                  <c:v>412.76169025283792</c:v>
                </c:pt>
                <c:pt idx="21">
                  <c:v>413.08502716093852</c:v>
                </c:pt>
                <c:pt idx="22">
                  <c:v>412.67773863229746</c:v>
                </c:pt>
                <c:pt idx="23">
                  <c:v>411.62133091974351</c:v>
                </c:pt>
                <c:pt idx="24">
                  <c:v>409.98243847762643</c:v>
                </c:pt>
                <c:pt idx="25">
                  <c:v>407.81201063083114</c:v>
                </c:pt>
                <c:pt idx="26">
                  <c:v>405.14150421540251</c:v>
                </c:pt>
                <c:pt idx="27">
                  <c:v>401.97076743086183</c:v>
                </c:pt>
                <c:pt idx="28">
                  <c:v>398.22586371141017</c:v>
                </c:pt>
                <c:pt idx="29">
                  <c:v>393.53147719555182</c:v>
                </c:pt>
                <c:pt idx="30">
                  <c:v>388.40336489925841</c:v>
                </c:pt>
                <c:pt idx="31">
                  <c:v>390.3226177181553</c:v>
                </c:pt>
                <c:pt idx="32">
                  <c:v>392.05007637010232</c:v>
                </c:pt>
                <c:pt idx="33">
                  <c:v>393.81166136756531</c:v>
                </c:pt>
                <c:pt idx="34">
                  <c:v>395.63818631929757</c:v>
                </c:pt>
                <c:pt idx="35">
                  <c:v>397.54101636008761</c:v>
                </c:pt>
                <c:pt idx="36">
                  <c:v>399.51038338334115</c:v>
                </c:pt>
                <c:pt idx="37">
                  <c:v>401.52389209737936</c:v>
                </c:pt>
                <c:pt idx="38">
                  <c:v>403.55176273460432</c:v>
                </c:pt>
                <c:pt idx="39">
                  <c:v>405.56027975500604</c:v>
                </c:pt>
                <c:pt idx="40">
                  <c:v>407.51433904366905</c:v>
                </c:pt>
                <c:pt idx="41">
                  <c:v>409.37932064931022</c:v>
                </c:pt>
                <c:pt idx="42">
                  <c:v>411.12244554645201</c:v>
                </c:pt>
                <c:pt idx="43">
                  <c:v>412.71372827421595</c:v>
                </c:pt>
                <c:pt idx="44">
                  <c:v>414.12659721196343</c:v>
                </c:pt>
                <c:pt idx="45">
                  <c:v>415.33825207305426</c:v>
                </c:pt>
                <c:pt idx="46">
                  <c:v>416.32981686743454</c:v>
                </c:pt>
                <c:pt idx="47">
                  <c:v>417.08635253957124</c:v>
                </c:pt>
                <c:pt idx="48">
                  <c:v>417.59678753244373</c:v>
                </c:pt>
                <c:pt idx="49">
                  <c:v>417.85381799143937</c:v>
                </c:pt>
                <c:pt idx="50">
                  <c:v>417.85381799143937</c:v>
                </c:pt>
                <c:pt idx="51">
                  <c:v>417.59678753244373</c:v>
                </c:pt>
                <c:pt idx="52">
                  <c:v>417.08635253957124</c:v>
                </c:pt>
                <c:pt idx="53">
                  <c:v>416.32981686743454</c:v>
                </c:pt>
                <c:pt idx="54">
                  <c:v>415.33825207305426</c:v>
                </c:pt>
                <c:pt idx="55">
                  <c:v>414.12659721196343</c:v>
                </c:pt>
                <c:pt idx="56">
                  <c:v>412.71372827421595</c:v>
                </c:pt>
                <c:pt idx="57">
                  <c:v>411.12244554645201</c:v>
                </c:pt>
                <c:pt idx="58">
                  <c:v>409.37932064931022</c:v>
                </c:pt>
                <c:pt idx="59">
                  <c:v>407.51433904366905</c:v>
                </c:pt>
                <c:pt idx="60">
                  <c:v>405.56027975500604</c:v>
                </c:pt>
                <c:pt idx="61">
                  <c:v>403.55176273460432</c:v>
                </c:pt>
                <c:pt idx="62">
                  <c:v>401.52389209737936</c:v>
                </c:pt>
                <c:pt idx="63">
                  <c:v>399.51038338334115</c:v>
                </c:pt>
                <c:pt idx="64">
                  <c:v>397.54101636008761</c:v>
                </c:pt>
                <c:pt idx="65">
                  <c:v>395.63818631929757</c:v>
                </c:pt>
                <c:pt idx="66">
                  <c:v>393.81166136756531</c:v>
                </c:pt>
                <c:pt idx="67">
                  <c:v>392.05007637010232</c:v>
                </c:pt>
                <c:pt idx="68">
                  <c:v>390.3226177181553</c:v>
                </c:pt>
                <c:pt idx="69">
                  <c:v>388.40336489925841</c:v>
                </c:pt>
                <c:pt idx="70">
                  <c:v>393.53147719555182</c:v>
                </c:pt>
                <c:pt idx="71">
                  <c:v>398.22586371141017</c:v>
                </c:pt>
                <c:pt idx="72">
                  <c:v>401.97076743086183</c:v>
                </c:pt>
                <c:pt idx="73">
                  <c:v>405.14150421540251</c:v>
                </c:pt>
                <c:pt idx="74">
                  <c:v>407.81201063083114</c:v>
                </c:pt>
                <c:pt idx="75">
                  <c:v>409.98243847762643</c:v>
                </c:pt>
                <c:pt idx="76">
                  <c:v>411.62133091974351</c:v>
                </c:pt>
                <c:pt idx="77">
                  <c:v>412.67773863229746</c:v>
                </c:pt>
                <c:pt idx="78">
                  <c:v>413.08502716093852</c:v>
                </c:pt>
                <c:pt idx="79">
                  <c:v>412.76169025283792</c:v>
                </c:pt>
                <c:pt idx="80">
                  <c:v>411.6109381796004</c:v>
                </c:pt>
                <c:pt idx="81">
                  <c:v>409.51983080400385</c:v>
                </c:pt>
                <c:pt idx="82">
                  <c:v>406.35841311622045</c:v>
                </c:pt>
                <c:pt idx="83">
                  <c:v>401.97922932702107</c:v>
                </c:pt>
                <c:pt idx="84">
                  <c:v>396.21759959496404</c:v>
                </c:pt>
                <c:pt idx="85">
                  <c:v>388.89307455098162</c:v>
                </c:pt>
                <c:pt idx="86">
                  <c:v>379.8124848174715</c:v>
                </c:pt>
                <c:pt idx="87">
                  <c:v>368.77493749563189</c:v>
                </c:pt>
                <c:pt idx="88">
                  <c:v>355.57892347840209</c:v>
                </c:pt>
                <c:pt idx="89">
                  <c:v>340.03138422431851</c:v>
                </c:pt>
                <c:pt idx="90">
                  <c:v>321.95818875055517</c:v>
                </c:pt>
                <c:pt idx="91">
                  <c:v>301.21508592851558</c:v>
                </c:pt>
                <c:pt idx="92">
                  <c:v>277.6980086131702</c:v>
                </c:pt>
                <c:pt idx="93">
                  <c:v>251.35164739219968</c:v>
                </c:pt>
                <c:pt idx="94">
                  <c:v>222.17548875872154</c:v>
                </c:pt>
                <c:pt idx="95">
                  <c:v>190.22819030614016</c:v>
                </c:pt>
                <c:pt idx="96">
                  <c:v>155.64923938802895</c:v>
                </c:pt>
                <c:pt idx="97">
                  <c:v>118.88090494144882</c:v>
                </c:pt>
                <c:pt idx="98">
                  <c:v>81.483605402934998</c:v>
                </c:pt>
                <c:pt idx="99">
                  <c:v>46.916419704663561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11-497F-9811-5D1B0691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641296"/>
        <c:axId val="1408641776"/>
      </c:scatterChart>
      <c:valAx>
        <c:axId val="14086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776"/>
        <c:crosses val="autoZero"/>
        <c:crossBetween val="midCat"/>
      </c:valAx>
      <c:valAx>
        <c:axId val="14086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296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da Asa SEM  endplat vs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758C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71833540438852"/>
                  <c:y val="0.263880874436009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ESTOL'!$AO$54:$AO$103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ESTOL'!$AS$54:$AS$103</c:f>
              <c:numCache>
                <c:formatCode>0.00</c:formatCode>
                <c:ptCount val="50"/>
                <c:pt idx="0">
                  <c:v>417.85381799143937</c:v>
                </c:pt>
                <c:pt idx="1">
                  <c:v>417.59678753244373</c:v>
                </c:pt>
                <c:pt idx="2">
                  <c:v>417.08635253957124</c:v>
                </c:pt>
                <c:pt idx="3">
                  <c:v>416.32981686743454</c:v>
                </c:pt>
                <c:pt idx="4">
                  <c:v>415.33825207305426</c:v>
                </c:pt>
                <c:pt idx="5">
                  <c:v>414.12659721196343</c:v>
                </c:pt>
                <c:pt idx="6">
                  <c:v>412.71372827421595</c:v>
                </c:pt>
                <c:pt idx="7">
                  <c:v>411.12244554645201</c:v>
                </c:pt>
                <c:pt idx="8">
                  <c:v>409.37932064931022</c:v>
                </c:pt>
                <c:pt idx="9">
                  <c:v>407.51433904366905</c:v>
                </c:pt>
                <c:pt idx="10">
                  <c:v>405.56027975500604</c:v>
                </c:pt>
                <c:pt idx="11">
                  <c:v>403.55176273460432</c:v>
                </c:pt>
                <c:pt idx="12">
                  <c:v>401.52389209737936</c:v>
                </c:pt>
                <c:pt idx="13">
                  <c:v>399.51038338334115</c:v>
                </c:pt>
                <c:pt idx="14">
                  <c:v>397.54101636008761</c:v>
                </c:pt>
                <c:pt idx="15">
                  <c:v>395.63818631929757</c:v>
                </c:pt>
                <c:pt idx="16">
                  <c:v>393.81166136756531</c:v>
                </c:pt>
                <c:pt idx="17">
                  <c:v>392.05007637010232</c:v>
                </c:pt>
                <c:pt idx="18">
                  <c:v>390.3226177181553</c:v>
                </c:pt>
                <c:pt idx="19">
                  <c:v>388.40336489925841</c:v>
                </c:pt>
                <c:pt idx="20">
                  <c:v>393.53147719555182</c:v>
                </c:pt>
                <c:pt idx="21">
                  <c:v>398.22586371141017</c:v>
                </c:pt>
                <c:pt idx="22">
                  <c:v>401.97076743086183</c:v>
                </c:pt>
                <c:pt idx="23">
                  <c:v>405.14150421540251</c:v>
                </c:pt>
                <c:pt idx="24">
                  <c:v>407.81201063083114</c:v>
                </c:pt>
                <c:pt idx="25">
                  <c:v>409.98243847762643</c:v>
                </c:pt>
                <c:pt idx="26">
                  <c:v>411.62133091974351</c:v>
                </c:pt>
                <c:pt idx="27">
                  <c:v>412.67773863229746</c:v>
                </c:pt>
                <c:pt idx="28">
                  <c:v>413.08502716093852</c:v>
                </c:pt>
                <c:pt idx="29">
                  <c:v>412.76169025283792</c:v>
                </c:pt>
                <c:pt idx="30">
                  <c:v>411.6109381796004</c:v>
                </c:pt>
                <c:pt idx="31">
                  <c:v>409.51983080400385</c:v>
                </c:pt>
                <c:pt idx="32">
                  <c:v>406.35841311622045</c:v>
                </c:pt>
                <c:pt idx="33">
                  <c:v>401.97922932702107</c:v>
                </c:pt>
                <c:pt idx="34">
                  <c:v>396.21759959496404</c:v>
                </c:pt>
                <c:pt idx="35">
                  <c:v>388.89307455098162</c:v>
                </c:pt>
                <c:pt idx="36">
                  <c:v>379.8124848174715</c:v>
                </c:pt>
                <c:pt idx="37">
                  <c:v>368.77493749563189</c:v>
                </c:pt>
                <c:pt idx="38">
                  <c:v>355.57892347840209</c:v>
                </c:pt>
                <c:pt idx="39">
                  <c:v>340.03138422431851</c:v>
                </c:pt>
                <c:pt idx="40">
                  <c:v>321.95818875055517</c:v>
                </c:pt>
                <c:pt idx="41">
                  <c:v>301.21508592851558</c:v>
                </c:pt>
                <c:pt idx="42">
                  <c:v>277.6980086131702</c:v>
                </c:pt>
                <c:pt idx="43">
                  <c:v>251.35164739219968</c:v>
                </c:pt>
                <c:pt idx="44">
                  <c:v>222.17548875872154</c:v>
                </c:pt>
                <c:pt idx="45">
                  <c:v>190.22819030614016</c:v>
                </c:pt>
                <c:pt idx="46">
                  <c:v>155.64923938802895</c:v>
                </c:pt>
                <c:pt idx="47">
                  <c:v>118.88090494144882</c:v>
                </c:pt>
                <c:pt idx="48">
                  <c:v>81.483605402934998</c:v>
                </c:pt>
                <c:pt idx="49">
                  <c:v>46.916419704663561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21-49CA-9DCE-3A9C591A4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24512"/>
        <c:axId val="1430924992"/>
      </c:scatterChart>
      <c:valAx>
        <c:axId val="143092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[m/2]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992"/>
        <c:crosses val="autoZero"/>
        <c:crossBetween val="midCat"/>
      </c:valAx>
      <c:valAx>
        <c:axId val="14309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512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 vs envergadura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'Distrib. ASA INCD. ESTOL'!$C$4:$C$103</c:f>
              <c:numCache>
                <c:formatCode>General</c:formatCode>
                <c:ptCount val="100"/>
                <c:pt idx="0">
                  <c:v>-0.8746552595</c:v>
                </c:pt>
                <c:pt idx="1">
                  <c:v>-0.87327724220000003</c:v>
                </c:pt>
                <c:pt idx="2">
                  <c:v>-0.87052498489999997</c:v>
                </c:pt>
                <c:pt idx="3">
                  <c:v>-0.86640603100000002</c:v>
                </c:pt>
                <c:pt idx="4">
                  <c:v>-0.86093167059999998</c:v>
                </c:pt>
                <c:pt idx="5">
                  <c:v>-0.85411690829999998</c:v>
                </c:pt>
                <c:pt idx="6">
                  <c:v>-0.84598042299999998</c:v>
                </c:pt>
                <c:pt idx="7">
                  <c:v>-0.83654451620000003</c:v>
                </c:pt>
                <c:pt idx="8">
                  <c:v>-0.82583505099999999</c:v>
                </c:pt>
                <c:pt idx="9">
                  <c:v>-0.8138813815</c:v>
                </c:pt>
                <c:pt idx="10">
                  <c:v>-0.80071627170000004</c:v>
                </c:pt>
                <c:pt idx="11">
                  <c:v>-0.78637580630000004</c:v>
                </c:pt>
                <c:pt idx="12">
                  <c:v>-0.77089929150000003</c:v>
                </c:pt>
                <c:pt idx="13">
                  <c:v>-0.75432914750000002</c:v>
                </c:pt>
                <c:pt idx="14">
                  <c:v>-0.73671079169999998</c:v>
                </c:pt>
                <c:pt idx="15">
                  <c:v>-0.71809251480000003</c:v>
                </c:pt>
                <c:pt idx="16">
                  <c:v>-0.69852534840000002</c:v>
                </c:pt>
                <c:pt idx="17">
                  <c:v>-0.67806292459999995</c:v>
                </c:pt>
                <c:pt idx="18">
                  <c:v>-0.65676132949999999</c:v>
                </c:pt>
                <c:pt idx="19">
                  <c:v>-0.63467894930000002</c:v>
                </c:pt>
                <c:pt idx="20">
                  <c:v>-0.6118763102</c:v>
                </c:pt>
                <c:pt idx="21">
                  <c:v>-0.58841591280000005</c:v>
                </c:pt>
                <c:pt idx="22">
                  <c:v>-0.56436206030000002</c:v>
                </c:pt>
                <c:pt idx="23">
                  <c:v>-0.53978068260000001</c:v>
                </c:pt>
                <c:pt idx="24">
                  <c:v>-0.51473915569999995</c:v>
                </c:pt>
                <c:pt idx="25">
                  <c:v>-0.48930611660000001</c:v>
                </c:pt>
                <c:pt idx="26">
                  <c:v>-0.46355127550000003</c:v>
                </c:pt>
                <c:pt idx="27">
                  <c:v>-0.4375452246</c:v>
                </c:pt>
                <c:pt idx="28">
                  <c:v>-0.41135924470000002</c:v>
                </c:pt>
                <c:pt idx="29">
                  <c:v>-0.38506510980000003</c:v>
                </c:pt>
                <c:pt idx="30">
                  <c:v>-0.37132677819999999</c:v>
                </c:pt>
                <c:pt idx="31">
                  <c:v>-0.36903742509999998</c:v>
                </c:pt>
                <c:pt idx="32">
                  <c:v>-0.36447283359999999</c:v>
                </c:pt>
                <c:pt idx="33">
                  <c:v>-0.35766114589999998</c:v>
                </c:pt>
                <c:pt idx="34">
                  <c:v>-0.34864435830000001</c:v>
                </c:pt>
                <c:pt idx="35">
                  <c:v>-0.33747806219999998</c:v>
                </c:pt>
                <c:pt idx="36">
                  <c:v>-0.32423110170000002</c:v>
                </c:pt>
                <c:pt idx="37">
                  <c:v>-0.30898514869999999</c:v>
                </c:pt>
                <c:pt idx="38">
                  <c:v>-0.29183419939999999</c:v>
                </c:pt>
                <c:pt idx="39">
                  <c:v>-0.27288399530000002</c:v>
                </c:pt>
                <c:pt idx="40">
                  <c:v>-0.25225137050000002</c:v>
                </c:pt>
                <c:pt idx="41">
                  <c:v>-0.23006353230000001</c:v>
                </c:pt>
                <c:pt idx="42">
                  <c:v>-0.20645727580000001</c:v>
                </c:pt>
                <c:pt idx="43">
                  <c:v>-0.18157814150000001</c:v>
                </c:pt>
                <c:pt idx="44">
                  <c:v>-0.1555795177</c:v>
                </c:pt>
                <c:pt idx="45">
                  <c:v>-0.12862169439999999</c:v>
                </c:pt>
                <c:pt idx="46">
                  <c:v>-0.1008708755</c:v>
                </c:pt>
                <c:pt idx="47">
                  <c:v>-7.2498154179999996E-2</c:v>
                </c:pt>
                <c:pt idx="48">
                  <c:v>-4.367845762E-2</c:v>
                </c:pt>
                <c:pt idx="49">
                  <c:v>-1.458946885E-2</c:v>
                </c:pt>
                <c:pt idx="50">
                  <c:v>1.458946885E-2</c:v>
                </c:pt>
                <c:pt idx="51">
                  <c:v>4.367845762E-2</c:v>
                </c:pt>
                <c:pt idx="52">
                  <c:v>7.2498154179999996E-2</c:v>
                </c:pt>
                <c:pt idx="53">
                  <c:v>0.1008708755</c:v>
                </c:pt>
                <c:pt idx="54">
                  <c:v>0.12862169439999999</c:v>
                </c:pt>
                <c:pt idx="55">
                  <c:v>0.1555795177</c:v>
                </c:pt>
                <c:pt idx="56">
                  <c:v>0.18157814150000001</c:v>
                </c:pt>
                <c:pt idx="57">
                  <c:v>0.20645727580000001</c:v>
                </c:pt>
                <c:pt idx="58">
                  <c:v>0.23006353230000001</c:v>
                </c:pt>
                <c:pt idx="59">
                  <c:v>0.25225137050000002</c:v>
                </c:pt>
                <c:pt idx="60">
                  <c:v>0.27288399530000002</c:v>
                </c:pt>
                <c:pt idx="61">
                  <c:v>0.29183419939999999</c:v>
                </c:pt>
                <c:pt idx="62">
                  <c:v>0.30898514869999999</c:v>
                </c:pt>
                <c:pt idx="63">
                  <c:v>0.32423110170000002</c:v>
                </c:pt>
                <c:pt idx="64">
                  <c:v>0.33747806219999998</c:v>
                </c:pt>
                <c:pt idx="65">
                  <c:v>0.34864435830000001</c:v>
                </c:pt>
                <c:pt idx="66">
                  <c:v>0.35766114589999998</c:v>
                </c:pt>
                <c:pt idx="67">
                  <c:v>0.36447283359999999</c:v>
                </c:pt>
                <c:pt idx="68">
                  <c:v>0.36903742509999998</c:v>
                </c:pt>
                <c:pt idx="69">
                  <c:v>0.37132677819999999</c:v>
                </c:pt>
                <c:pt idx="70">
                  <c:v>0.38506510980000003</c:v>
                </c:pt>
                <c:pt idx="71">
                  <c:v>0.41135924470000002</c:v>
                </c:pt>
                <c:pt idx="72">
                  <c:v>0.4375452246</c:v>
                </c:pt>
                <c:pt idx="73">
                  <c:v>0.46355127550000003</c:v>
                </c:pt>
                <c:pt idx="74">
                  <c:v>0.48930611660000001</c:v>
                </c:pt>
                <c:pt idx="75">
                  <c:v>0.51473915569999995</c:v>
                </c:pt>
                <c:pt idx="76">
                  <c:v>0.53978068260000001</c:v>
                </c:pt>
                <c:pt idx="77">
                  <c:v>0.56436206030000002</c:v>
                </c:pt>
                <c:pt idx="78">
                  <c:v>0.58841591280000005</c:v>
                </c:pt>
                <c:pt idx="79">
                  <c:v>0.6118763102</c:v>
                </c:pt>
                <c:pt idx="80">
                  <c:v>0.63467894930000002</c:v>
                </c:pt>
                <c:pt idx="81">
                  <c:v>0.65676132949999999</c:v>
                </c:pt>
                <c:pt idx="82">
                  <c:v>0.67806292459999995</c:v>
                </c:pt>
                <c:pt idx="83">
                  <c:v>0.69852534840000002</c:v>
                </c:pt>
                <c:pt idx="84">
                  <c:v>0.71809251480000003</c:v>
                </c:pt>
                <c:pt idx="85">
                  <c:v>0.73671079169999998</c:v>
                </c:pt>
                <c:pt idx="86">
                  <c:v>0.75432914750000002</c:v>
                </c:pt>
                <c:pt idx="87">
                  <c:v>0.77089929150000003</c:v>
                </c:pt>
                <c:pt idx="88">
                  <c:v>0.78637580630000004</c:v>
                </c:pt>
                <c:pt idx="89">
                  <c:v>0.80071627170000004</c:v>
                </c:pt>
                <c:pt idx="90">
                  <c:v>0.8138813815</c:v>
                </c:pt>
                <c:pt idx="91">
                  <c:v>0.82583505099999999</c:v>
                </c:pt>
                <c:pt idx="92">
                  <c:v>0.83654451620000003</c:v>
                </c:pt>
                <c:pt idx="93">
                  <c:v>0.84598042299999998</c:v>
                </c:pt>
                <c:pt idx="94">
                  <c:v>0.85411690829999998</c:v>
                </c:pt>
                <c:pt idx="95">
                  <c:v>0.86093167059999998</c:v>
                </c:pt>
                <c:pt idx="96">
                  <c:v>0.86640603100000002</c:v>
                </c:pt>
                <c:pt idx="97">
                  <c:v>0.87052498489999997</c:v>
                </c:pt>
                <c:pt idx="98">
                  <c:v>0.87327724220000003</c:v>
                </c:pt>
                <c:pt idx="99">
                  <c:v>0.8746552595</c:v>
                </c:pt>
              </c:numCache>
            </c:numRef>
          </c:xVal>
          <c:yVal>
            <c:numRef>
              <c:f>'Distrib. ASA INCD. ESTOL'!$H$4:$H$103</c:f>
              <c:numCache>
                <c:formatCode>0.000000000</c:formatCode>
                <c:ptCount val="100"/>
                <c:pt idx="0">
                  <c:v>1.8099999999999999E-5</c:v>
                </c:pt>
                <c:pt idx="1">
                  <c:v>9.3399999999999993E-5</c:v>
                </c:pt>
                <c:pt idx="2">
                  <c:v>2.8147997920000001E-4</c:v>
                </c:pt>
                <c:pt idx="3">
                  <c:v>6.0722057670000004E-4</c:v>
                </c:pt>
                <c:pt idx="4">
                  <c:v>1.0738501770000001E-3</c:v>
                </c:pt>
                <c:pt idx="5">
                  <c:v>1.6758358589999999E-3</c:v>
                </c:pt>
                <c:pt idx="6" formatCode="General">
                  <c:v>2.4049556469999999E-3</c:v>
                </c:pt>
                <c:pt idx="7" formatCode="General">
                  <c:v>3.2531891729999998E-3</c:v>
                </c:pt>
                <c:pt idx="8" formatCode="General">
                  <c:v>4.2139269789999998E-3</c:v>
                </c:pt>
                <c:pt idx="9" formatCode="General">
                  <c:v>5.2825498620000001E-3</c:v>
                </c:pt>
                <c:pt idx="10" formatCode="General">
                  <c:v>6.4567532950000001E-3</c:v>
                </c:pt>
                <c:pt idx="11" formatCode="General">
                  <c:v>7.7367499009999997E-3</c:v>
                </c:pt>
                <c:pt idx="12" formatCode="General">
                  <c:v>9.1254092740000008E-3</c:v>
                </c:pt>
                <c:pt idx="13" formatCode="General">
                  <c:v>1.0628359570000001E-2</c:v>
                </c:pt>
                <c:pt idx="14" formatCode="General">
                  <c:v>1.2254055450000001E-2</c:v>
                </c:pt>
                <c:pt idx="15" formatCode="General">
                  <c:v>1.4013807269999999E-2</c:v>
                </c:pt>
                <c:pt idx="16" formatCode="General">
                  <c:v>1.5921764120000001E-2</c:v>
                </c:pt>
                <c:pt idx="17" formatCode="General">
                  <c:v>1.7994843949999999E-2</c:v>
                </c:pt>
                <c:pt idx="18" formatCode="General">
                  <c:v>2.025260634E-2</c:v>
                </c:pt>
                <c:pt idx="19" formatCode="General">
                  <c:v>2.2717065030000001E-2</c:v>
                </c:pt>
                <c:pt idx="20" formatCode="General">
                  <c:v>2.5412438450000002E-2</c:v>
                </c:pt>
                <c:pt idx="21" formatCode="General">
                  <c:v>2.8364836340000001E-2</c:v>
                </c:pt>
                <c:pt idx="22" formatCode="General">
                  <c:v>3.1601879460000003E-2</c:v>
                </c:pt>
                <c:pt idx="23" formatCode="General">
                  <c:v>3.5152245929999999E-2</c:v>
                </c:pt>
                <c:pt idx="24" formatCode="General">
                  <c:v>3.9045130599999998E-2</c:v>
                </c:pt>
                <c:pt idx="25" formatCode="General">
                  <c:v>4.3309587429999997E-2</c:v>
                </c:pt>
                <c:pt idx="26" formatCode="General">
                  <c:v>4.7973682910000003E-2</c:v>
                </c:pt>
                <c:pt idx="27" formatCode="General">
                  <c:v>5.3063251300000003E-2</c:v>
                </c:pt>
                <c:pt idx="28" formatCode="General">
                  <c:v>5.8599392780000002E-2</c:v>
                </c:pt>
                <c:pt idx="29" formatCode="General">
                  <c:v>6.4589958789999999E-2</c:v>
                </c:pt>
                <c:pt idx="30" formatCode="General">
                  <c:v>6.4589958789999999E-2</c:v>
                </c:pt>
                <c:pt idx="31" formatCode="General">
                  <c:v>6.4589958789999999E-2</c:v>
                </c:pt>
                <c:pt idx="32" formatCode="General">
                  <c:v>6.4589958789999999E-2</c:v>
                </c:pt>
                <c:pt idx="33" formatCode="General">
                  <c:v>6.4589958789999999E-2</c:v>
                </c:pt>
                <c:pt idx="34" formatCode="General">
                  <c:v>6.4589958789999999E-2</c:v>
                </c:pt>
                <c:pt idx="35" formatCode="General">
                  <c:v>6.4589958789999999E-2</c:v>
                </c:pt>
                <c:pt idx="36" formatCode="General">
                  <c:v>6.4589958789999999E-2</c:v>
                </c:pt>
                <c:pt idx="37" formatCode="General">
                  <c:v>6.4589958789999999E-2</c:v>
                </c:pt>
                <c:pt idx="38" formatCode="General">
                  <c:v>6.4589958789999999E-2</c:v>
                </c:pt>
                <c:pt idx="39" formatCode="General">
                  <c:v>6.4589958789999999E-2</c:v>
                </c:pt>
                <c:pt idx="40" formatCode="General">
                  <c:v>6.4589958789999999E-2</c:v>
                </c:pt>
                <c:pt idx="41" formatCode="General">
                  <c:v>6.4589958789999999E-2</c:v>
                </c:pt>
                <c:pt idx="42" formatCode="General">
                  <c:v>6.4589958789999999E-2</c:v>
                </c:pt>
                <c:pt idx="43" formatCode="General">
                  <c:v>6.4589958789999999E-2</c:v>
                </c:pt>
                <c:pt idx="44" formatCode="General">
                  <c:v>6.4589958789999999E-2</c:v>
                </c:pt>
                <c:pt idx="45" formatCode="General">
                  <c:v>6.4589958789999999E-2</c:v>
                </c:pt>
                <c:pt idx="46" formatCode="General">
                  <c:v>6.4589958789999999E-2</c:v>
                </c:pt>
                <c:pt idx="47" formatCode="General">
                  <c:v>6.4589958789999999E-2</c:v>
                </c:pt>
                <c:pt idx="48" formatCode="General">
                  <c:v>6.4589958789999999E-2</c:v>
                </c:pt>
                <c:pt idx="49" formatCode="General">
                  <c:v>6.4589958789999999E-2</c:v>
                </c:pt>
                <c:pt idx="50" formatCode="General">
                  <c:v>6.4589958789999999E-2</c:v>
                </c:pt>
                <c:pt idx="51" formatCode="General">
                  <c:v>6.4589958789999999E-2</c:v>
                </c:pt>
                <c:pt idx="52" formatCode="General">
                  <c:v>6.4589958789999999E-2</c:v>
                </c:pt>
                <c:pt idx="53" formatCode="General">
                  <c:v>6.4589958789999999E-2</c:v>
                </c:pt>
                <c:pt idx="54" formatCode="General">
                  <c:v>6.4589958789999999E-2</c:v>
                </c:pt>
                <c:pt idx="55" formatCode="General">
                  <c:v>6.4589958789999999E-2</c:v>
                </c:pt>
                <c:pt idx="56" formatCode="0.00E+00">
                  <c:v>6.4589958789999999E-2</c:v>
                </c:pt>
                <c:pt idx="57" formatCode="General">
                  <c:v>6.4589958789999999E-2</c:v>
                </c:pt>
                <c:pt idx="58" formatCode="General">
                  <c:v>6.4589958789999999E-2</c:v>
                </c:pt>
                <c:pt idx="59" formatCode="General">
                  <c:v>6.4589958789999999E-2</c:v>
                </c:pt>
                <c:pt idx="60" formatCode="General">
                  <c:v>6.4589958789999999E-2</c:v>
                </c:pt>
                <c:pt idx="61" formatCode="General">
                  <c:v>6.4589958789999999E-2</c:v>
                </c:pt>
                <c:pt idx="62" formatCode="General">
                  <c:v>6.4589958789999999E-2</c:v>
                </c:pt>
                <c:pt idx="63" formatCode="General">
                  <c:v>6.4589958789999999E-2</c:v>
                </c:pt>
                <c:pt idx="64" formatCode="General">
                  <c:v>6.4589958789999999E-2</c:v>
                </c:pt>
                <c:pt idx="65" formatCode="General">
                  <c:v>6.4589958789999999E-2</c:v>
                </c:pt>
                <c:pt idx="66" formatCode="General">
                  <c:v>6.4589958789999999E-2</c:v>
                </c:pt>
                <c:pt idx="67" formatCode="General">
                  <c:v>6.4589958789999999E-2</c:v>
                </c:pt>
                <c:pt idx="68" formatCode="General">
                  <c:v>6.4589958789999999E-2</c:v>
                </c:pt>
                <c:pt idx="69" formatCode="General">
                  <c:v>6.4589958789999999E-2</c:v>
                </c:pt>
                <c:pt idx="70" formatCode="General">
                  <c:v>6.4589958789999999E-2</c:v>
                </c:pt>
                <c:pt idx="71" formatCode="General">
                  <c:v>5.8599392780000002E-2</c:v>
                </c:pt>
                <c:pt idx="72" formatCode="General">
                  <c:v>5.3063251300000003E-2</c:v>
                </c:pt>
                <c:pt idx="73" formatCode="General">
                  <c:v>4.7973682910000003E-2</c:v>
                </c:pt>
                <c:pt idx="74" formatCode="General">
                  <c:v>4.3309587429999997E-2</c:v>
                </c:pt>
                <c:pt idx="75" formatCode="General">
                  <c:v>3.9045130599999998E-2</c:v>
                </c:pt>
                <c:pt idx="76" formatCode="General">
                  <c:v>3.5152245929999999E-2</c:v>
                </c:pt>
                <c:pt idx="77" formatCode="General">
                  <c:v>3.1601879460000003E-2</c:v>
                </c:pt>
                <c:pt idx="78" formatCode="General">
                  <c:v>2.8364836340000001E-2</c:v>
                </c:pt>
                <c:pt idx="79" formatCode="General">
                  <c:v>2.5412438450000002E-2</c:v>
                </c:pt>
                <c:pt idx="80" formatCode="General">
                  <c:v>2.2717065030000001E-2</c:v>
                </c:pt>
                <c:pt idx="81" formatCode="General">
                  <c:v>2.025260634E-2</c:v>
                </c:pt>
                <c:pt idx="82" formatCode="General">
                  <c:v>1.7994843949999999E-2</c:v>
                </c:pt>
                <c:pt idx="83" formatCode="General">
                  <c:v>1.5921764120000001E-2</c:v>
                </c:pt>
                <c:pt idx="84" formatCode="General">
                  <c:v>1.4013807269999999E-2</c:v>
                </c:pt>
                <c:pt idx="85" formatCode="General">
                  <c:v>1.2254055450000001E-2</c:v>
                </c:pt>
                <c:pt idx="86" formatCode="General">
                  <c:v>1.0628359570000001E-2</c:v>
                </c:pt>
                <c:pt idx="87" formatCode="General">
                  <c:v>9.1254092740000008E-3</c:v>
                </c:pt>
                <c:pt idx="88" formatCode="General">
                  <c:v>7.7367499009999997E-3</c:v>
                </c:pt>
                <c:pt idx="89" formatCode="General">
                  <c:v>6.4567532950000001E-3</c:v>
                </c:pt>
                <c:pt idx="90" formatCode="General">
                  <c:v>5.2825498620000001E-3</c:v>
                </c:pt>
                <c:pt idx="91" formatCode="General">
                  <c:v>4.2139269789999998E-3</c:v>
                </c:pt>
                <c:pt idx="92" formatCode="General">
                  <c:v>3.2531891729999998E-3</c:v>
                </c:pt>
                <c:pt idx="93" formatCode="General">
                  <c:v>2.4049556469999999E-3</c:v>
                </c:pt>
                <c:pt idx="94" formatCode="General">
                  <c:v>1.6758358589999999E-3</c:v>
                </c:pt>
                <c:pt idx="95" formatCode="General">
                  <c:v>1.0738501770000001E-3</c:v>
                </c:pt>
                <c:pt idx="96" formatCode="General">
                  <c:v>6.0722057670000004E-4</c:v>
                </c:pt>
                <c:pt idx="97" formatCode="General">
                  <c:v>2.8147997920000001E-4</c:v>
                </c:pt>
                <c:pt idx="98" formatCode="0.00000000">
                  <c:v>9.3399999999999993E-5</c:v>
                </c:pt>
                <c:pt idx="99">
                  <c:v>1.8099999999999999E-5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9C0-48A1-9448-A7B998E79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12832"/>
        <c:axId val="762197952"/>
      </c:scatterChart>
      <c:valAx>
        <c:axId val="7622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197952"/>
        <c:crosses val="autoZero"/>
        <c:crossBetween val="midCat"/>
      </c:valAx>
      <c:valAx>
        <c:axId val="7621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Momento</a:t>
                </a:r>
                <a:r>
                  <a:rPr lang="en-US" baseline="0"/>
                  <a:t> Torsor [N.m]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21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</a:t>
            </a:r>
            <a:r>
              <a:rPr lang="pt-BR" baseline="0"/>
              <a:t>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3218684328582023E-2"/>
                  <c:y val="-0.545455580033462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ESTOL'!$C$54:$C$103</c:f>
              <c:numCache>
                <c:formatCode>General</c:formatCode>
                <c:ptCount val="50"/>
                <c:pt idx="0">
                  <c:v>1.458946885E-2</c:v>
                </c:pt>
                <c:pt idx="1">
                  <c:v>4.367845762E-2</c:v>
                </c:pt>
                <c:pt idx="2">
                  <c:v>7.2498154179999996E-2</c:v>
                </c:pt>
                <c:pt idx="3">
                  <c:v>0.1008708755</c:v>
                </c:pt>
                <c:pt idx="4">
                  <c:v>0.12862169439999999</c:v>
                </c:pt>
                <c:pt idx="5">
                  <c:v>0.1555795177</c:v>
                </c:pt>
                <c:pt idx="6">
                  <c:v>0.18157814150000001</c:v>
                </c:pt>
                <c:pt idx="7">
                  <c:v>0.20645727580000001</c:v>
                </c:pt>
                <c:pt idx="8">
                  <c:v>0.23006353230000001</c:v>
                </c:pt>
                <c:pt idx="9">
                  <c:v>0.25225137050000002</c:v>
                </c:pt>
                <c:pt idx="10">
                  <c:v>0.27288399530000002</c:v>
                </c:pt>
                <c:pt idx="11">
                  <c:v>0.29183419939999999</c:v>
                </c:pt>
                <c:pt idx="12">
                  <c:v>0.30898514869999999</c:v>
                </c:pt>
                <c:pt idx="13">
                  <c:v>0.32423110170000002</c:v>
                </c:pt>
                <c:pt idx="14">
                  <c:v>0.33747806219999998</c:v>
                </c:pt>
                <c:pt idx="15">
                  <c:v>0.34864435830000001</c:v>
                </c:pt>
                <c:pt idx="16">
                  <c:v>0.35766114589999998</c:v>
                </c:pt>
                <c:pt idx="17">
                  <c:v>0.36447283359999999</c:v>
                </c:pt>
                <c:pt idx="18">
                  <c:v>0.36903742509999998</c:v>
                </c:pt>
                <c:pt idx="19">
                  <c:v>0.37132677819999999</c:v>
                </c:pt>
                <c:pt idx="20">
                  <c:v>0.38506510980000003</c:v>
                </c:pt>
                <c:pt idx="21">
                  <c:v>0.41135924470000002</c:v>
                </c:pt>
                <c:pt idx="22">
                  <c:v>0.4375452246</c:v>
                </c:pt>
                <c:pt idx="23">
                  <c:v>0.46355127550000003</c:v>
                </c:pt>
                <c:pt idx="24">
                  <c:v>0.48930611660000001</c:v>
                </c:pt>
                <c:pt idx="25">
                  <c:v>0.51473915569999995</c:v>
                </c:pt>
                <c:pt idx="26">
                  <c:v>0.53978068260000001</c:v>
                </c:pt>
                <c:pt idx="27">
                  <c:v>0.56436206030000002</c:v>
                </c:pt>
                <c:pt idx="28">
                  <c:v>0.58841591280000005</c:v>
                </c:pt>
                <c:pt idx="29">
                  <c:v>0.6118763102</c:v>
                </c:pt>
                <c:pt idx="30">
                  <c:v>0.63467894930000002</c:v>
                </c:pt>
                <c:pt idx="31">
                  <c:v>0.65676132949999999</c:v>
                </c:pt>
                <c:pt idx="32">
                  <c:v>0.67806292459999995</c:v>
                </c:pt>
                <c:pt idx="33">
                  <c:v>0.69852534840000002</c:v>
                </c:pt>
                <c:pt idx="34">
                  <c:v>0.71809251480000003</c:v>
                </c:pt>
                <c:pt idx="35">
                  <c:v>0.73671079169999998</c:v>
                </c:pt>
                <c:pt idx="36">
                  <c:v>0.75432914750000002</c:v>
                </c:pt>
                <c:pt idx="37">
                  <c:v>0.77089929150000003</c:v>
                </c:pt>
                <c:pt idx="38">
                  <c:v>0.78637580630000004</c:v>
                </c:pt>
                <c:pt idx="39">
                  <c:v>0.80071627170000004</c:v>
                </c:pt>
                <c:pt idx="40">
                  <c:v>0.8138813815</c:v>
                </c:pt>
                <c:pt idx="41">
                  <c:v>0.82583505099999999</c:v>
                </c:pt>
                <c:pt idx="42">
                  <c:v>0.83654451620000003</c:v>
                </c:pt>
                <c:pt idx="43">
                  <c:v>0.84598042299999998</c:v>
                </c:pt>
                <c:pt idx="44">
                  <c:v>0.85411690829999998</c:v>
                </c:pt>
                <c:pt idx="45">
                  <c:v>0.86093167059999998</c:v>
                </c:pt>
                <c:pt idx="46">
                  <c:v>0.86640603100000002</c:v>
                </c:pt>
                <c:pt idx="47">
                  <c:v>0.87052498489999997</c:v>
                </c:pt>
                <c:pt idx="48">
                  <c:v>0.87327724220000003</c:v>
                </c:pt>
                <c:pt idx="49">
                  <c:v>0.8746552595</c:v>
                </c:pt>
              </c:numCache>
            </c:numRef>
          </c:xVal>
          <c:yVal>
            <c:numRef>
              <c:f>'Distrib. ASA INCD. ESTOL'!$H$54:$H$103</c:f>
              <c:numCache>
                <c:formatCode>General</c:formatCode>
                <c:ptCount val="50"/>
                <c:pt idx="0">
                  <c:v>6.4589958789999999E-2</c:v>
                </c:pt>
                <c:pt idx="1">
                  <c:v>6.4589958789999999E-2</c:v>
                </c:pt>
                <c:pt idx="2">
                  <c:v>6.4589958789999999E-2</c:v>
                </c:pt>
                <c:pt idx="3">
                  <c:v>6.4589958789999999E-2</c:v>
                </c:pt>
                <c:pt idx="4">
                  <c:v>6.4589958789999999E-2</c:v>
                </c:pt>
                <c:pt idx="5">
                  <c:v>6.4589958789999999E-2</c:v>
                </c:pt>
                <c:pt idx="6" formatCode="0.00E+00">
                  <c:v>6.4589958789999999E-2</c:v>
                </c:pt>
                <c:pt idx="7">
                  <c:v>6.4589958789999999E-2</c:v>
                </c:pt>
                <c:pt idx="8">
                  <c:v>6.4589958789999999E-2</c:v>
                </c:pt>
                <c:pt idx="9">
                  <c:v>6.4589958789999999E-2</c:v>
                </c:pt>
                <c:pt idx="10">
                  <c:v>6.4589958789999999E-2</c:v>
                </c:pt>
                <c:pt idx="11">
                  <c:v>6.4589958789999999E-2</c:v>
                </c:pt>
                <c:pt idx="12">
                  <c:v>6.4589958789999999E-2</c:v>
                </c:pt>
                <c:pt idx="13">
                  <c:v>6.4589958789999999E-2</c:v>
                </c:pt>
                <c:pt idx="14">
                  <c:v>6.4589958789999999E-2</c:v>
                </c:pt>
                <c:pt idx="15">
                  <c:v>6.4589958789999999E-2</c:v>
                </c:pt>
                <c:pt idx="16">
                  <c:v>6.4589958789999999E-2</c:v>
                </c:pt>
                <c:pt idx="17">
                  <c:v>6.4589958789999999E-2</c:v>
                </c:pt>
                <c:pt idx="18">
                  <c:v>6.4589958789999999E-2</c:v>
                </c:pt>
                <c:pt idx="19">
                  <c:v>6.4589958789999999E-2</c:v>
                </c:pt>
                <c:pt idx="20">
                  <c:v>6.4589958789999999E-2</c:v>
                </c:pt>
                <c:pt idx="21">
                  <c:v>5.8599392780000002E-2</c:v>
                </c:pt>
                <c:pt idx="22">
                  <c:v>5.3063251300000003E-2</c:v>
                </c:pt>
                <c:pt idx="23">
                  <c:v>4.7973682910000003E-2</c:v>
                </c:pt>
                <c:pt idx="24">
                  <c:v>4.3309587429999997E-2</c:v>
                </c:pt>
                <c:pt idx="25">
                  <c:v>3.9045130599999998E-2</c:v>
                </c:pt>
                <c:pt idx="26">
                  <c:v>3.5152245929999999E-2</c:v>
                </c:pt>
                <c:pt idx="27">
                  <c:v>3.1601879460000003E-2</c:v>
                </c:pt>
                <c:pt idx="28">
                  <c:v>2.8364836340000001E-2</c:v>
                </c:pt>
                <c:pt idx="29">
                  <c:v>2.5412438450000002E-2</c:v>
                </c:pt>
                <c:pt idx="30">
                  <c:v>2.2717065030000001E-2</c:v>
                </c:pt>
                <c:pt idx="31">
                  <c:v>2.025260634E-2</c:v>
                </c:pt>
                <c:pt idx="32">
                  <c:v>1.7994843949999999E-2</c:v>
                </c:pt>
                <c:pt idx="33">
                  <c:v>1.5921764120000001E-2</c:v>
                </c:pt>
                <c:pt idx="34">
                  <c:v>1.4013807269999999E-2</c:v>
                </c:pt>
                <c:pt idx="35">
                  <c:v>1.2254055450000001E-2</c:v>
                </c:pt>
                <c:pt idx="36">
                  <c:v>1.0628359570000001E-2</c:v>
                </c:pt>
                <c:pt idx="37">
                  <c:v>9.1254092740000008E-3</c:v>
                </c:pt>
                <c:pt idx="38">
                  <c:v>7.7367499009999997E-3</c:v>
                </c:pt>
                <c:pt idx="39">
                  <c:v>6.4567532950000001E-3</c:v>
                </c:pt>
                <c:pt idx="40">
                  <c:v>5.2825498620000001E-3</c:v>
                </c:pt>
                <c:pt idx="41">
                  <c:v>4.2139269789999998E-3</c:v>
                </c:pt>
                <c:pt idx="42">
                  <c:v>3.2531891729999998E-3</c:v>
                </c:pt>
                <c:pt idx="43">
                  <c:v>2.4049556469999999E-3</c:v>
                </c:pt>
                <c:pt idx="44">
                  <c:v>1.6758358589999999E-3</c:v>
                </c:pt>
                <c:pt idx="45">
                  <c:v>1.0738501770000001E-3</c:v>
                </c:pt>
                <c:pt idx="46">
                  <c:v>6.0722057670000004E-4</c:v>
                </c:pt>
                <c:pt idx="47">
                  <c:v>2.8147997920000001E-4</c:v>
                </c:pt>
                <c:pt idx="48" formatCode="0.00000000">
                  <c:v>9.3399999999999993E-5</c:v>
                </c:pt>
                <c:pt idx="49" formatCode="0.000000000">
                  <c:v>1.8099999999999999E-5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55-4BB4-A01B-9908872A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22400"/>
        <c:axId val="789626240"/>
      </c:scatterChart>
      <c:valAx>
        <c:axId val="7896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6240"/>
        <c:crosses val="autoZero"/>
        <c:crossBetween val="midCat"/>
      </c:valAx>
      <c:valAx>
        <c:axId val="7896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[N.m}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 vs envergadura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4592598215384132E-2"/>
          <c:y val="1.587987434513019E-2"/>
          <c:w val="0.94033751079423944"/>
          <c:h val="0.6982518820570737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ESTOL'!$AO$4:$AO$103</c:f>
              <c:numCache>
                <c:formatCode>General</c:formatCode>
                <c:ptCount val="100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ESTOL'!$AT$4:$AT$103</c:f>
              <c:numCache>
                <c:formatCode>0.000000000</c:formatCode>
                <c:ptCount val="100"/>
                <c:pt idx="0">
                  <c:v>8.4600000000000003E-6</c:v>
                </c:pt>
                <c:pt idx="1">
                  <c:v>4.7700000000000001E-5</c:v>
                </c:pt>
                <c:pt idx="2">
                  <c:v>1.449238479E-4</c:v>
                </c:pt>
                <c:pt idx="3">
                  <c:v>3.0929960719999999E-4</c:v>
                </c:pt>
                <c:pt idx="4">
                  <c:v>5.396032781E-4</c:v>
                </c:pt>
                <c:pt idx="5" formatCode="General">
                  <c:v>8.3084468669999999E-4</c:v>
                </c:pt>
                <c:pt idx="6" formatCode="General">
                  <c:v>1.1770951259999999E-3</c:v>
                </c:pt>
                <c:pt idx="7" formatCode="General">
                  <c:v>1.572630698E-3</c:v>
                </c:pt>
                <c:pt idx="8" formatCode="General">
                  <c:v>2.012442685E-3</c:v>
                </c:pt>
                <c:pt idx="9" formatCode="General">
                  <c:v>2.4925209639999999E-3</c:v>
                </c:pt>
                <c:pt idx="10" formatCode="General">
                  <c:v>3.010034222E-3</c:v>
                </c:pt>
                <c:pt idx="11" formatCode="General">
                  <c:v>3.5634593310000001E-3</c:v>
                </c:pt>
                <c:pt idx="12" formatCode="General">
                  <c:v>4.1526826720000003E-3</c:v>
                </c:pt>
                <c:pt idx="13" formatCode="General">
                  <c:v>4.7790795870000001E-3</c:v>
                </c:pt>
                <c:pt idx="14" formatCode="General">
                  <c:v>5.4455708749999998E-3</c:v>
                </c:pt>
                <c:pt idx="15" formatCode="General">
                  <c:v>6.1566539700000002E-3</c:v>
                </c:pt>
                <c:pt idx="16" formatCode="General">
                  <c:v>6.9184075970000003E-3</c:v>
                </c:pt>
                <c:pt idx="17" formatCode="General">
                  <c:v>7.7384699249999998E-3</c:v>
                </c:pt>
                <c:pt idx="18" formatCode="General">
                  <c:v>8.6259907430000001E-3</c:v>
                </c:pt>
                <c:pt idx="19" formatCode="General">
                  <c:v>9.5915580730000002E-3</c:v>
                </c:pt>
                <c:pt idx="20" formatCode="General">
                  <c:v>1.064709921E-2</c:v>
                </c:pt>
                <c:pt idx="21" formatCode="General">
                  <c:v>1.1805755899999999E-2</c:v>
                </c:pt>
                <c:pt idx="22" formatCode="General">
                  <c:v>1.30817329E-2</c:v>
                </c:pt>
                <c:pt idx="23" formatCode="General">
                  <c:v>1.4490118789999999E-2</c:v>
                </c:pt>
                <c:pt idx="24" formatCode="General">
                  <c:v>1.6046675539999999E-2</c:v>
                </c:pt>
                <c:pt idx="25" formatCode="General">
                  <c:v>1.7767589310000002E-2</c:v>
                </c:pt>
                <c:pt idx="26" formatCode="General">
                  <c:v>1.9669163100000001E-2</c:v>
                </c:pt>
                <c:pt idx="27" formatCode="General">
                  <c:v>2.1767401419999999E-2</c:v>
                </c:pt>
                <c:pt idx="28" formatCode="General">
                  <c:v>2.407730856E-2</c:v>
                </c:pt>
                <c:pt idx="29" formatCode="General">
                  <c:v>2.6611329390000001E-2</c:v>
                </c:pt>
                <c:pt idx="30" formatCode="General">
                  <c:v>2.6611329390000001E-2</c:v>
                </c:pt>
                <c:pt idx="31" formatCode="General">
                  <c:v>2.6611329390000001E-2</c:v>
                </c:pt>
                <c:pt idx="32" formatCode="General">
                  <c:v>2.6611329390000001E-2</c:v>
                </c:pt>
                <c:pt idx="33" formatCode="General">
                  <c:v>2.6611329390000001E-2</c:v>
                </c:pt>
                <c:pt idx="34" formatCode="General">
                  <c:v>2.6611329390000001E-2</c:v>
                </c:pt>
                <c:pt idx="35" formatCode="General">
                  <c:v>2.6611329390000001E-2</c:v>
                </c:pt>
                <c:pt idx="36" formatCode="General">
                  <c:v>2.6611329390000001E-2</c:v>
                </c:pt>
                <c:pt idx="37" formatCode="General">
                  <c:v>2.6611329390000001E-2</c:v>
                </c:pt>
                <c:pt idx="38">
                  <c:v>2.6611329390000001E-2</c:v>
                </c:pt>
                <c:pt idx="39" formatCode="General">
                  <c:v>2.6611329390000001E-2</c:v>
                </c:pt>
                <c:pt idx="40" formatCode="General">
                  <c:v>2.6611329390000001E-2</c:v>
                </c:pt>
                <c:pt idx="41" formatCode="General">
                  <c:v>2.6611329390000001E-2</c:v>
                </c:pt>
                <c:pt idx="42" formatCode="General">
                  <c:v>2.6611329390000001E-2</c:v>
                </c:pt>
                <c:pt idx="43" formatCode="General">
                  <c:v>2.6611329390000001E-2</c:v>
                </c:pt>
                <c:pt idx="44" formatCode="General">
                  <c:v>2.6611329390000001E-2</c:v>
                </c:pt>
                <c:pt idx="45" formatCode="General">
                  <c:v>2.6611329390000001E-2</c:v>
                </c:pt>
                <c:pt idx="46" formatCode="General">
                  <c:v>2.6611329390000001E-2</c:v>
                </c:pt>
                <c:pt idx="47" formatCode="General">
                  <c:v>2.6611329390000001E-2</c:v>
                </c:pt>
                <c:pt idx="48" formatCode="General">
                  <c:v>2.6611329390000001E-2</c:v>
                </c:pt>
                <c:pt idx="49" formatCode="General">
                  <c:v>2.6611329390000001E-2</c:v>
                </c:pt>
                <c:pt idx="50" formatCode="General">
                  <c:v>2.6611329390000001E-2</c:v>
                </c:pt>
                <c:pt idx="51" formatCode="General">
                  <c:v>2.6611329390000001E-2</c:v>
                </c:pt>
                <c:pt idx="52" formatCode="General">
                  <c:v>2.6611329390000001E-2</c:v>
                </c:pt>
                <c:pt idx="53" formatCode="General">
                  <c:v>2.6611329390000001E-2</c:v>
                </c:pt>
                <c:pt idx="54" formatCode="General">
                  <c:v>2.6611329390000001E-2</c:v>
                </c:pt>
                <c:pt idx="55" formatCode="General">
                  <c:v>2.6611329390000001E-2</c:v>
                </c:pt>
                <c:pt idx="56" formatCode="General">
                  <c:v>2.6611329390000001E-2</c:v>
                </c:pt>
                <c:pt idx="57" formatCode="General">
                  <c:v>2.6611329390000001E-2</c:v>
                </c:pt>
                <c:pt idx="58" formatCode="General">
                  <c:v>2.6611329390000001E-2</c:v>
                </c:pt>
                <c:pt idx="59" formatCode="General">
                  <c:v>2.6611329390000001E-2</c:v>
                </c:pt>
                <c:pt idx="60" formatCode="General">
                  <c:v>2.6611329390000001E-2</c:v>
                </c:pt>
                <c:pt idx="61" formatCode="General">
                  <c:v>2.6611329390000001E-2</c:v>
                </c:pt>
                <c:pt idx="62" formatCode="General">
                  <c:v>2.6611329390000001E-2</c:v>
                </c:pt>
                <c:pt idx="63" formatCode="General">
                  <c:v>2.6611329390000001E-2</c:v>
                </c:pt>
                <c:pt idx="64" formatCode="General">
                  <c:v>2.6611329390000001E-2</c:v>
                </c:pt>
                <c:pt idx="65" formatCode="General">
                  <c:v>2.6611329390000001E-2</c:v>
                </c:pt>
                <c:pt idx="66" formatCode="General">
                  <c:v>2.6611329390000001E-2</c:v>
                </c:pt>
                <c:pt idx="67" formatCode="General">
                  <c:v>2.6611329390000001E-2</c:v>
                </c:pt>
                <c:pt idx="68" formatCode="General">
                  <c:v>2.6611329390000001E-2</c:v>
                </c:pt>
                <c:pt idx="69" formatCode="General">
                  <c:v>2.6611329390000001E-2</c:v>
                </c:pt>
                <c:pt idx="70" formatCode="General">
                  <c:v>2.6611329390000001E-2</c:v>
                </c:pt>
                <c:pt idx="71" formatCode="General">
                  <c:v>2.407730856E-2</c:v>
                </c:pt>
                <c:pt idx="72" formatCode="General">
                  <c:v>2.1767401419999999E-2</c:v>
                </c:pt>
                <c:pt idx="73" formatCode="General">
                  <c:v>1.9669163100000001E-2</c:v>
                </c:pt>
                <c:pt idx="74" formatCode="General">
                  <c:v>1.7767589310000002E-2</c:v>
                </c:pt>
                <c:pt idx="75" formatCode="General">
                  <c:v>1.6046675539999999E-2</c:v>
                </c:pt>
                <c:pt idx="76" formatCode="General">
                  <c:v>1.4490118789999999E-2</c:v>
                </c:pt>
                <c:pt idx="77" formatCode="General">
                  <c:v>1.30817329E-2</c:v>
                </c:pt>
                <c:pt idx="78" formatCode="General">
                  <c:v>1.1805755899999999E-2</c:v>
                </c:pt>
                <c:pt idx="79" formatCode="General">
                  <c:v>1.064709921E-2</c:v>
                </c:pt>
                <c:pt idx="80" formatCode="General">
                  <c:v>9.5915580730000002E-3</c:v>
                </c:pt>
                <c:pt idx="81" formatCode="General">
                  <c:v>8.6259907430000001E-3</c:v>
                </c:pt>
                <c:pt idx="82" formatCode="General">
                  <c:v>7.7384699249999998E-3</c:v>
                </c:pt>
                <c:pt idx="83" formatCode="General">
                  <c:v>6.9184075970000003E-3</c:v>
                </c:pt>
                <c:pt idx="84" formatCode="General">
                  <c:v>6.1566539700000002E-3</c:v>
                </c:pt>
                <c:pt idx="85" formatCode="General">
                  <c:v>5.4455708749999998E-3</c:v>
                </c:pt>
                <c:pt idx="86" formatCode="General">
                  <c:v>4.7790795870000001E-3</c:v>
                </c:pt>
                <c:pt idx="87" formatCode="General">
                  <c:v>4.1526826720000003E-3</c:v>
                </c:pt>
                <c:pt idx="88" formatCode="General">
                  <c:v>3.5634593310000001E-3</c:v>
                </c:pt>
                <c:pt idx="89" formatCode="General">
                  <c:v>3.010034222E-3</c:v>
                </c:pt>
                <c:pt idx="90" formatCode="General">
                  <c:v>2.4925209639999999E-3</c:v>
                </c:pt>
                <c:pt idx="91" formatCode="General">
                  <c:v>2.012442685E-3</c:v>
                </c:pt>
                <c:pt idx="92" formatCode="General">
                  <c:v>1.572630698E-3</c:v>
                </c:pt>
                <c:pt idx="93" formatCode="General">
                  <c:v>1.1770951259999999E-3</c:v>
                </c:pt>
                <c:pt idx="94" formatCode="General">
                  <c:v>8.3084468669999999E-4</c:v>
                </c:pt>
                <c:pt idx="95" formatCode="General">
                  <c:v>5.396032781E-4</c:v>
                </c:pt>
                <c:pt idx="96" formatCode="General">
                  <c:v>3.0929960719999999E-4</c:v>
                </c:pt>
                <c:pt idx="97" formatCode="General">
                  <c:v>1.449238479E-4</c:v>
                </c:pt>
                <c:pt idx="98" formatCode="0.00000000">
                  <c:v>4.7700000000000001E-5</c:v>
                </c:pt>
                <c:pt idx="99" formatCode="0.00000000">
                  <c:v>8.4600000000000003E-6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60-4935-A586-829D7C944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212832"/>
        <c:axId val="762197952"/>
      </c:scatterChart>
      <c:valAx>
        <c:axId val="76221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197952"/>
        <c:crosses val="autoZero"/>
        <c:crossBetween val="midCat"/>
      </c:valAx>
      <c:valAx>
        <c:axId val="7621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Momento</a:t>
                </a:r>
                <a:r>
                  <a:rPr lang="en-US" baseline="0"/>
                  <a:t> Torsor [N.m]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221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Momento Torsor</a:t>
            </a:r>
            <a:r>
              <a:rPr lang="pt-BR" baseline="0"/>
              <a:t> vs Semi-Envergadura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758C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4579001984854709E-2"/>
                  <c:y val="-0.5387808101393387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'Distrib. ASA INCD. ESTOL'!$AO$54:$AO$103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ESTOL'!$AT$54:$AT$103</c:f>
              <c:numCache>
                <c:formatCode>General</c:formatCode>
                <c:ptCount val="50"/>
                <c:pt idx="0">
                  <c:v>2.6611329390000001E-2</c:v>
                </c:pt>
                <c:pt idx="1">
                  <c:v>2.6611329390000001E-2</c:v>
                </c:pt>
                <c:pt idx="2">
                  <c:v>2.6611329390000001E-2</c:v>
                </c:pt>
                <c:pt idx="3">
                  <c:v>2.6611329390000001E-2</c:v>
                </c:pt>
                <c:pt idx="4">
                  <c:v>2.6611329390000001E-2</c:v>
                </c:pt>
                <c:pt idx="5">
                  <c:v>2.6611329390000001E-2</c:v>
                </c:pt>
                <c:pt idx="6">
                  <c:v>2.6611329390000001E-2</c:v>
                </c:pt>
                <c:pt idx="7">
                  <c:v>2.6611329390000001E-2</c:v>
                </c:pt>
                <c:pt idx="8">
                  <c:v>2.6611329390000001E-2</c:v>
                </c:pt>
                <c:pt idx="9">
                  <c:v>2.6611329390000001E-2</c:v>
                </c:pt>
                <c:pt idx="10">
                  <c:v>2.6611329390000001E-2</c:v>
                </c:pt>
                <c:pt idx="11">
                  <c:v>2.6611329390000001E-2</c:v>
                </c:pt>
                <c:pt idx="12">
                  <c:v>2.6611329390000001E-2</c:v>
                </c:pt>
                <c:pt idx="13">
                  <c:v>2.6611329390000001E-2</c:v>
                </c:pt>
                <c:pt idx="14">
                  <c:v>2.6611329390000001E-2</c:v>
                </c:pt>
                <c:pt idx="15">
                  <c:v>2.6611329390000001E-2</c:v>
                </c:pt>
                <c:pt idx="16">
                  <c:v>2.6611329390000001E-2</c:v>
                </c:pt>
                <c:pt idx="17">
                  <c:v>2.6611329390000001E-2</c:v>
                </c:pt>
                <c:pt idx="18">
                  <c:v>2.6611329390000001E-2</c:v>
                </c:pt>
                <c:pt idx="19">
                  <c:v>2.6611329390000001E-2</c:v>
                </c:pt>
                <c:pt idx="20">
                  <c:v>2.6611329390000001E-2</c:v>
                </c:pt>
                <c:pt idx="21">
                  <c:v>2.407730856E-2</c:v>
                </c:pt>
                <c:pt idx="22">
                  <c:v>2.1767401419999999E-2</c:v>
                </c:pt>
                <c:pt idx="23">
                  <c:v>1.9669163100000001E-2</c:v>
                </c:pt>
                <c:pt idx="24">
                  <c:v>1.7767589310000002E-2</c:v>
                </c:pt>
                <c:pt idx="25">
                  <c:v>1.6046675539999999E-2</c:v>
                </c:pt>
                <c:pt idx="26">
                  <c:v>1.4490118789999999E-2</c:v>
                </c:pt>
                <c:pt idx="27">
                  <c:v>1.30817329E-2</c:v>
                </c:pt>
                <c:pt idx="28">
                  <c:v>1.1805755899999999E-2</c:v>
                </c:pt>
                <c:pt idx="29">
                  <c:v>1.064709921E-2</c:v>
                </c:pt>
                <c:pt idx="30">
                  <c:v>9.5915580730000002E-3</c:v>
                </c:pt>
                <c:pt idx="31">
                  <c:v>8.6259907430000001E-3</c:v>
                </c:pt>
                <c:pt idx="32">
                  <c:v>7.7384699249999998E-3</c:v>
                </c:pt>
                <c:pt idx="33">
                  <c:v>6.9184075970000003E-3</c:v>
                </c:pt>
                <c:pt idx="34">
                  <c:v>6.1566539700000002E-3</c:v>
                </c:pt>
                <c:pt idx="35">
                  <c:v>5.4455708749999998E-3</c:v>
                </c:pt>
                <c:pt idx="36">
                  <c:v>4.7790795870000001E-3</c:v>
                </c:pt>
                <c:pt idx="37">
                  <c:v>4.1526826720000003E-3</c:v>
                </c:pt>
                <c:pt idx="38">
                  <c:v>3.5634593310000001E-3</c:v>
                </c:pt>
                <c:pt idx="39">
                  <c:v>3.010034222E-3</c:v>
                </c:pt>
                <c:pt idx="40">
                  <c:v>2.4925209639999999E-3</c:v>
                </c:pt>
                <c:pt idx="41">
                  <c:v>2.012442685E-3</c:v>
                </c:pt>
                <c:pt idx="42">
                  <c:v>1.572630698E-3</c:v>
                </c:pt>
                <c:pt idx="43">
                  <c:v>1.1770951259999999E-3</c:v>
                </c:pt>
                <c:pt idx="44">
                  <c:v>8.3084468669999999E-4</c:v>
                </c:pt>
                <c:pt idx="45">
                  <c:v>5.396032781E-4</c:v>
                </c:pt>
                <c:pt idx="46">
                  <c:v>3.0929960719999999E-4</c:v>
                </c:pt>
                <c:pt idx="47">
                  <c:v>1.449238479E-4</c:v>
                </c:pt>
                <c:pt idx="48" formatCode="0.00000000">
                  <c:v>4.7700000000000001E-5</c:v>
                </c:pt>
                <c:pt idx="49" formatCode="0.00000000">
                  <c:v>8.4600000000000003E-6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41-4B20-A6AD-9C6F0BD11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622400"/>
        <c:axId val="789626240"/>
      </c:scatterChart>
      <c:valAx>
        <c:axId val="78962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Semi-envergadura</a:t>
                </a:r>
                <a:r>
                  <a:rPr lang="pt-BR" baseline="0"/>
                  <a:t> [m/2]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6240"/>
        <c:crosses val="autoZero"/>
        <c:crossBetween val="midCat"/>
      </c:valAx>
      <c:valAx>
        <c:axId val="7896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[N.m}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962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de Sustentação da Asa SEM/COM endplate vs Envergadura Total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Força de Sustentação COM Endplate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8C4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ESTOL'!$CI$3:$CI$302</c:f>
              <c:numCache>
                <c:formatCode>General</c:formatCode>
                <c:ptCount val="300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ESTOL'!$CH$3:$CH$302</c:f>
              <c:numCache>
                <c:formatCode>0.00</c:formatCode>
                <c:ptCount val="300"/>
                <c:pt idx="0">
                  <c:v>46.916419704663561</c:v>
                </c:pt>
                <c:pt idx="1">
                  <c:v>81.483605402934998</c:v>
                </c:pt>
                <c:pt idx="2">
                  <c:v>118.88090494144882</c:v>
                </c:pt>
                <c:pt idx="3">
                  <c:v>155.64923938802895</c:v>
                </c:pt>
                <c:pt idx="4">
                  <c:v>190.22819030614016</c:v>
                </c:pt>
                <c:pt idx="5">
                  <c:v>222.17548875872154</c:v>
                </c:pt>
                <c:pt idx="6">
                  <c:v>251.35164739219968</c:v>
                </c:pt>
                <c:pt idx="7">
                  <c:v>277.6980086131702</c:v>
                </c:pt>
                <c:pt idx="8">
                  <c:v>301.21508592851558</c:v>
                </c:pt>
                <c:pt idx="9">
                  <c:v>321.95818875055517</c:v>
                </c:pt>
                <c:pt idx="10">
                  <c:v>340.03138422431851</c:v>
                </c:pt>
                <c:pt idx="11">
                  <c:v>355.57892347840209</c:v>
                </c:pt>
                <c:pt idx="12">
                  <c:v>368.77493749563189</c:v>
                </c:pt>
                <c:pt idx="13">
                  <c:v>379.8124848174715</c:v>
                </c:pt>
                <c:pt idx="14">
                  <c:v>388.89307455098162</c:v>
                </c:pt>
                <c:pt idx="15">
                  <c:v>396.21759959496404</c:v>
                </c:pt>
                <c:pt idx="16">
                  <c:v>401.97922932702107</c:v>
                </c:pt>
                <c:pt idx="17">
                  <c:v>406.35841311622045</c:v>
                </c:pt>
                <c:pt idx="18">
                  <c:v>409.51983080400385</c:v>
                </c:pt>
                <c:pt idx="19">
                  <c:v>411.6109381796004</c:v>
                </c:pt>
                <c:pt idx="20">
                  <c:v>412.76169025283792</c:v>
                </c:pt>
                <c:pt idx="21">
                  <c:v>413.08502716093852</c:v>
                </c:pt>
                <c:pt idx="22">
                  <c:v>412.67773863229746</c:v>
                </c:pt>
                <c:pt idx="23">
                  <c:v>411.62133091974351</c:v>
                </c:pt>
                <c:pt idx="24">
                  <c:v>409.98243847762643</c:v>
                </c:pt>
                <c:pt idx="25">
                  <c:v>407.81201063083114</c:v>
                </c:pt>
                <c:pt idx="26">
                  <c:v>405.14150421540251</c:v>
                </c:pt>
                <c:pt idx="27">
                  <c:v>401.97076743086183</c:v>
                </c:pt>
                <c:pt idx="28">
                  <c:v>398.22586371141017</c:v>
                </c:pt>
                <c:pt idx="29">
                  <c:v>393.53147719555182</c:v>
                </c:pt>
                <c:pt idx="30">
                  <c:v>388.40336489925841</c:v>
                </c:pt>
                <c:pt idx="31">
                  <c:v>390.3226177181553</c:v>
                </c:pt>
                <c:pt idx="32">
                  <c:v>392.05007637010232</c:v>
                </c:pt>
                <c:pt idx="33">
                  <c:v>393.81166136756531</c:v>
                </c:pt>
                <c:pt idx="34">
                  <c:v>395.63818631929757</c:v>
                </c:pt>
                <c:pt idx="35">
                  <c:v>397.54101636008761</c:v>
                </c:pt>
                <c:pt idx="36">
                  <c:v>399.51038338334115</c:v>
                </c:pt>
                <c:pt idx="37">
                  <c:v>401.52389209737936</c:v>
                </c:pt>
                <c:pt idx="38">
                  <c:v>403.55176273460432</c:v>
                </c:pt>
                <c:pt idx="39">
                  <c:v>405.56027975500604</c:v>
                </c:pt>
                <c:pt idx="40">
                  <c:v>407.51433904366905</c:v>
                </c:pt>
                <c:pt idx="41">
                  <c:v>409.37932064931022</c:v>
                </c:pt>
                <c:pt idx="42">
                  <c:v>411.12244554645201</c:v>
                </c:pt>
                <c:pt idx="43">
                  <c:v>412.71372827421595</c:v>
                </c:pt>
                <c:pt idx="44">
                  <c:v>414.12659721196343</c:v>
                </c:pt>
                <c:pt idx="45">
                  <c:v>415.33825207305426</c:v>
                </c:pt>
                <c:pt idx="46">
                  <c:v>416.32981686743454</c:v>
                </c:pt>
                <c:pt idx="47">
                  <c:v>417.08635253957124</c:v>
                </c:pt>
                <c:pt idx="48">
                  <c:v>417.59678753244373</c:v>
                </c:pt>
                <c:pt idx="49">
                  <c:v>417.85381799143937</c:v>
                </c:pt>
                <c:pt idx="50">
                  <c:v>417.85381799143937</c:v>
                </c:pt>
                <c:pt idx="51">
                  <c:v>417.59678753244373</c:v>
                </c:pt>
                <c:pt idx="52">
                  <c:v>417.08635253957124</c:v>
                </c:pt>
                <c:pt idx="53">
                  <c:v>416.32981686743454</c:v>
                </c:pt>
                <c:pt idx="54">
                  <c:v>415.33825207305426</c:v>
                </c:pt>
                <c:pt idx="55">
                  <c:v>414.12659721196343</c:v>
                </c:pt>
                <c:pt idx="56">
                  <c:v>412.71372827421595</c:v>
                </c:pt>
                <c:pt idx="57">
                  <c:v>411.12244554645201</c:v>
                </c:pt>
                <c:pt idx="58">
                  <c:v>409.37932064931022</c:v>
                </c:pt>
                <c:pt idx="59">
                  <c:v>407.51433904366905</c:v>
                </c:pt>
                <c:pt idx="60">
                  <c:v>405.56027975500604</c:v>
                </c:pt>
                <c:pt idx="61">
                  <c:v>403.55176273460432</c:v>
                </c:pt>
                <c:pt idx="62">
                  <c:v>401.52389209737936</c:v>
                </c:pt>
                <c:pt idx="63">
                  <c:v>399.51038338334115</c:v>
                </c:pt>
                <c:pt idx="64">
                  <c:v>397.54101636008761</c:v>
                </c:pt>
                <c:pt idx="65">
                  <c:v>395.63818631929757</c:v>
                </c:pt>
                <c:pt idx="66">
                  <c:v>393.81166136756531</c:v>
                </c:pt>
                <c:pt idx="67">
                  <c:v>392.05007637010232</c:v>
                </c:pt>
                <c:pt idx="68">
                  <c:v>390.3226177181553</c:v>
                </c:pt>
                <c:pt idx="69">
                  <c:v>388.40336489925841</c:v>
                </c:pt>
                <c:pt idx="70">
                  <c:v>393.53147719555182</c:v>
                </c:pt>
                <c:pt idx="71">
                  <c:v>398.22586371141017</c:v>
                </c:pt>
                <c:pt idx="72">
                  <c:v>401.97076743086183</c:v>
                </c:pt>
                <c:pt idx="73">
                  <c:v>405.14150421540251</c:v>
                </c:pt>
                <c:pt idx="74">
                  <c:v>407.81201063083114</c:v>
                </c:pt>
                <c:pt idx="75">
                  <c:v>409.98243847762643</c:v>
                </c:pt>
                <c:pt idx="76">
                  <c:v>411.62133091974351</c:v>
                </c:pt>
                <c:pt idx="77">
                  <c:v>412.67773863229746</c:v>
                </c:pt>
                <c:pt idx="78">
                  <c:v>413.08502716093852</c:v>
                </c:pt>
                <c:pt idx="79">
                  <c:v>412.76169025283792</c:v>
                </c:pt>
                <c:pt idx="80">
                  <c:v>411.6109381796004</c:v>
                </c:pt>
                <c:pt idx="81">
                  <c:v>409.51983080400385</c:v>
                </c:pt>
                <c:pt idx="82">
                  <c:v>406.35841311622045</c:v>
                </c:pt>
                <c:pt idx="83">
                  <c:v>401.97922932702107</c:v>
                </c:pt>
                <c:pt idx="84">
                  <c:v>396.21759959496404</c:v>
                </c:pt>
                <c:pt idx="85">
                  <c:v>388.89307455098162</c:v>
                </c:pt>
                <c:pt idx="86">
                  <c:v>379.8124848174715</c:v>
                </c:pt>
                <c:pt idx="87">
                  <c:v>368.77493749563189</c:v>
                </c:pt>
                <c:pt idx="88">
                  <c:v>355.57892347840209</c:v>
                </c:pt>
                <c:pt idx="89">
                  <c:v>340.03138422431851</c:v>
                </c:pt>
                <c:pt idx="90">
                  <c:v>321.95818875055517</c:v>
                </c:pt>
                <c:pt idx="91">
                  <c:v>301.21508592851558</c:v>
                </c:pt>
                <c:pt idx="92">
                  <c:v>277.6980086131702</c:v>
                </c:pt>
                <c:pt idx="93">
                  <c:v>251.35164739219968</c:v>
                </c:pt>
                <c:pt idx="94">
                  <c:v>222.17548875872154</c:v>
                </c:pt>
                <c:pt idx="95">
                  <c:v>190.22819030614016</c:v>
                </c:pt>
                <c:pt idx="96">
                  <c:v>155.64923938802895</c:v>
                </c:pt>
                <c:pt idx="97">
                  <c:v>118.88090494144882</c:v>
                </c:pt>
                <c:pt idx="98">
                  <c:v>81.483605402934998</c:v>
                </c:pt>
                <c:pt idx="99">
                  <c:v>46.916419704663561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52-4B83-AE0E-46ECBEE9730E}"/>
            </c:ext>
          </c:extLst>
        </c:ser>
        <c:ser>
          <c:idx val="1"/>
          <c:order val="1"/>
          <c:tx>
            <c:v>Força de Sustentação SEM Endplate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'Distrib. ASA INCD. ESTOL'!$CI$3:$CI$302</c:f>
              <c:numCache>
                <c:formatCode>General</c:formatCode>
                <c:ptCount val="300"/>
                <c:pt idx="0">
                  <c:v>-0.87464025290000003</c:v>
                </c:pt>
                <c:pt idx="1">
                  <c:v>-0.87320225039999999</c:v>
                </c:pt>
                <c:pt idx="2">
                  <c:v>-0.87033018689999997</c:v>
                </c:pt>
                <c:pt idx="3">
                  <c:v>-0.86603193460000005</c:v>
                </c:pt>
                <c:pt idx="4">
                  <c:v>-0.86031927460000002</c:v>
                </c:pt>
                <c:pt idx="5">
                  <c:v>-0.8532078649</c:v>
                </c:pt>
                <c:pt idx="6">
                  <c:v>-0.84471719749999996</c:v>
                </c:pt>
                <c:pt idx="7">
                  <c:v>-0.83487054459999999</c:v>
                </c:pt>
                <c:pt idx="8">
                  <c:v>-0.82369489520000005</c:v>
                </c:pt>
                <c:pt idx="9">
                  <c:v>-0.81122088110000001</c:v>
                </c:pt>
                <c:pt idx="10">
                  <c:v>-0.79748269260000004</c:v>
                </c:pt>
                <c:pt idx="11">
                  <c:v>-0.78251798510000004</c:v>
                </c:pt>
                <c:pt idx="12">
                  <c:v>-0.76636777590000005</c:v>
                </c:pt>
                <c:pt idx="13">
                  <c:v>-0.74907633159999998</c:v>
                </c:pt>
                <c:pt idx="14">
                  <c:v>-0.73069104669999996</c:v>
                </c:pt>
                <c:pt idx="15">
                  <c:v>-0.71126231419999997</c:v>
                </c:pt>
                <c:pt idx="16">
                  <c:v>-0.69084338680000001</c:v>
                </c:pt>
                <c:pt idx="17">
                  <c:v>-0.66949023139999997</c:v>
                </c:pt>
                <c:pt idx="18">
                  <c:v>-0.64726137539999995</c:v>
                </c:pt>
                <c:pt idx="19">
                  <c:v>-0.62421774669999996</c:v>
                </c:pt>
                <c:pt idx="20">
                  <c:v>-0.60042250620000004</c:v>
                </c:pt>
                <c:pt idx="21">
                  <c:v>-0.57594087500000002</c:v>
                </c:pt>
                <c:pt idx="22">
                  <c:v>-0.55083995559999999</c:v>
                </c:pt>
                <c:pt idx="23">
                  <c:v>-0.52518854780000002</c:v>
                </c:pt>
                <c:pt idx="24">
                  <c:v>-0.49905696040000003</c:v>
                </c:pt>
                <c:pt idx="25">
                  <c:v>-0.47251681820000002</c:v>
                </c:pt>
                <c:pt idx="26">
                  <c:v>-0.44564086590000002</c:v>
                </c:pt>
                <c:pt idx="27">
                  <c:v>-0.41850276870000003</c:v>
                </c:pt>
                <c:pt idx="28">
                  <c:v>-0.3911769101</c:v>
                </c:pt>
                <c:pt idx="29">
                  <c:v>-0.3637381885</c:v>
                </c:pt>
                <c:pt idx="30">
                  <c:v>-0.3494605334</c:v>
                </c:pt>
                <c:pt idx="31">
                  <c:v>-0.34730599299999998</c:v>
                </c:pt>
                <c:pt idx="32">
                  <c:v>-0.34301019570000002</c:v>
                </c:pt>
                <c:pt idx="33">
                  <c:v>-0.33659962640000002</c:v>
                </c:pt>
                <c:pt idx="34">
                  <c:v>-0.32811380849999999</c:v>
                </c:pt>
                <c:pt idx="35">
                  <c:v>-0.31760505989999999</c:v>
                </c:pt>
                <c:pt idx="36">
                  <c:v>-0.30513817050000003</c:v>
                </c:pt>
                <c:pt idx="37">
                  <c:v>-0.2907900028</c:v>
                </c:pt>
                <c:pt idx="38">
                  <c:v>-0.27464901800000002</c:v>
                </c:pt>
                <c:pt idx="39">
                  <c:v>-0.25681473069999999</c:v>
                </c:pt>
                <c:pt idx="40">
                  <c:v>-0.23739709519999999</c:v>
                </c:pt>
                <c:pt idx="41">
                  <c:v>-0.21651582759999999</c:v>
                </c:pt>
                <c:pt idx="42">
                  <c:v>-0.19429966800000001</c:v>
                </c:pt>
                <c:pt idx="43">
                  <c:v>-0.1708855863</c:v>
                </c:pt>
                <c:pt idx="44">
                  <c:v>-0.14641793810000001</c:v>
                </c:pt>
                <c:pt idx="45">
                  <c:v>-0.12104757469999999</c:v>
                </c:pt>
                <c:pt idx="46">
                  <c:v>-9.4930912689999994E-2</c:v>
                </c:pt>
                <c:pt idx="47">
                  <c:v>-6.8228970060000005E-2</c:v>
                </c:pt>
                <c:pt idx="48">
                  <c:v>-4.1106373129999998E-2</c:v>
                </c:pt>
                <c:pt idx="49">
                  <c:v>-1.373034175E-2</c:v>
                </c:pt>
                <c:pt idx="50">
                  <c:v>1.373034175E-2</c:v>
                </c:pt>
                <c:pt idx="51">
                  <c:v>4.1106373129999998E-2</c:v>
                </c:pt>
                <c:pt idx="52">
                  <c:v>6.8228970060000005E-2</c:v>
                </c:pt>
                <c:pt idx="53">
                  <c:v>9.4930912689999994E-2</c:v>
                </c:pt>
                <c:pt idx="54">
                  <c:v>0.12104757469999999</c:v>
                </c:pt>
                <c:pt idx="55">
                  <c:v>0.14641793810000001</c:v>
                </c:pt>
                <c:pt idx="56">
                  <c:v>0.1708855863</c:v>
                </c:pt>
                <c:pt idx="57">
                  <c:v>0.19429966800000001</c:v>
                </c:pt>
                <c:pt idx="58">
                  <c:v>0.21651582759999999</c:v>
                </c:pt>
                <c:pt idx="59">
                  <c:v>0.23739709519999999</c:v>
                </c:pt>
                <c:pt idx="60">
                  <c:v>0.25681473069999999</c:v>
                </c:pt>
                <c:pt idx="61">
                  <c:v>0.27464901800000002</c:v>
                </c:pt>
                <c:pt idx="62">
                  <c:v>0.2907900028</c:v>
                </c:pt>
                <c:pt idx="63">
                  <c:v>0.30513817050000003</c:v>
                </c:pt>
                <c:pt idx="64">
                  <c:v>0.31760505989999999</c:v>
                </c:pt>
                <c:pt idx="65">
                  <c:v>0.32811380849999999</c:v>
                </c:pt>
                <c:pt idx="66">
                  <c:v>0.33659962640000002</c:v>
                </c:pt>
                <c:pt idx="67">
                  <c:v>0.34301019570000002</c:v>
                </c:pt>
                <c:pt idx="68">
                  <c:v>0.34730599299999998</c:v>
                </c:pt>
                <c:pt idx="69">
                  <c:v>0.3494605334</c:v>
                </c:pt>
                <c:pt idx="70">
                  <c:v>0.3637381885</c:v>
                </c:pt>
                <c:pt idx="71">
                  <c:v>0.3911769101</c:v>
                </c:pt>
                <c:pt idx="72">
                  <c:v>0.41850276870000003</c:v>
                </c:pt>
                <c:pt idx="73">
                  <c:v>0.44564086590000002</c:v>
                </c:pt>
                <c:pt idx="74">
                  <c:v>0.47251681820000002</c:v>
                </c:pt>
                <c:pt idx="75">
                  <c:v>0.49905696040000003</c:v>
                </c:pt>
                <c:pt idx="76">
                  <c:v>0.52518854780000002</c:v>
                </c:pt>
                <c:pt idx="77">
                  <c:v>0.55083995559999999</c:v>
                </c:pt>
                <c:pt idx="78">
                  <c:v>0.57594087500000002</c:v>
                </c:pt>
                <c:pt idx="79">
                  <c:v>0.60042250620000004</c:v>
                </c:pt>
                <c:pt idx="80">
                  <c:v>0.62421774669999996</c:v>
                </c:pt>
                <c:pt idx="81">
                  <c:v>0.64726137539999995</c:v>
                </c:pt>
                <c:pt idx="82">
                  <c:v>0.66949023139999997</c:v>
                </c:pt>
                <c:pt idx="83">
                  <c:v>0.69084338680000001</c:v>
                </c:pt>
                <c:pt idx="84">
                  <c:v>0.71126231419999997</c:v>
                </c:pt>
                <c:pt idx="85">
                  <c:v>0.73069104669999996</c:v>
                </c:pt>
                <c:pt idx="86">
                  <c:v>0.74907633159999998</c:v>
                </c:pt>
                <c:pt idx="87">
                  <c:v>0.76636777590000005</c:v>
                </c:pt>
                <c:pt idx="88">
                  <c:v>0.78251798510000004</c:v>
                </c:pt>
                <c:pt idx="89">
                  <c:v>0.79748269260000004</c:v>
                </c:pt>
                <c:pt idx="90">
                  <c:v>0.81122088110000001</c:v>
                </c:pt>
                <c:pt idx="91">
                  <c:v>0.82369489520000005</c:v>
                </c:pt>
                <c:pt idx="92">
                  <c:v>0.83487054459999999</c:v>
                </c:pt>
                <c:pt idx="93">
                  <c:v>0.84471719749999996</c:v>
                </c:pt>
                <c:pt idx="94">
                  <c:v>0.8532078649</c:v>
                </c:pt>
                <c:pt idx="95">
                  <c:v>0.86031927460000002</c:v>
                </c:pt>
                <c:pt idx="96">
                  <c:v>0.86603193460000005</c:v>
                </c:pt>
                <c:pt idx="97">
                  <c:v>0.87033018689999997</c:v>
                </c:pt>
                <c:pt idx="98">
                  <c:v>0.87320225039999999</c:v>
                </c:pt>
                <c:pt idx="99">
                  <c:v>0.87464025290000003</c:v>
                </c:pt>
              </c:numCache>
            </c:numRef>
          </c:xVal>
          <c:yVal>
            <c:numRef>
              <c:f>'Distrib. ASA INCD. ESTOL'!$CG$3:$CG$302</c:f>
              <c:numCache>
                <c:formatCode>General</c:formatCode>
                <c:ptCount val="300"/>
                <c:pt idx="0">
                  <c:v>42.278207195640427</c:v>
                </c:pt>
                <c:pt idx="1">
                  <c:v>73.442655472046695</c:v>
                </c:pt>
                <c:pt idx="2">
                  <c:v>107.17632012508355</c:v>
                </c:pt>
                <c:pt idx="3">
                  <c:v>140.80976241237363</c:v>
                </c:pt>
                <c:pt idx="4">
                  <c:v>172.75599660559874</c:v>
                </c:pt>
                <c:pt idx="5">
                  <c:v>202.40494952377142</c:v>
                </c:pt>
                <c:pt idx="6">
                  <c:v>229.60284489962498</c:v>
                </c:pt>
                <c:pt idx="7">
                  <c:v>254.2977967484785</c:v>
                </c:pt>
                <c:pt idx="8">
                  <c:v>276.4866717341348</c:v>
                </c:pt>
                <c:pt idx="9">
                  <c:v>296.20825407995699</c:v>
                </c:pt>
                <c:pt idx="10">
                  <c:v>313.53919068029137</c:v>
                </c:pt>
                <c:pt idx="11">
                  <c:v>328.58841297761285</c:v>
                </c:pt>
                <c:pt idx="12">
                  <c:v>341.49026105452549</c:v>
                </c:pt>
                <c:pt idx="13">
                  <c:v>352.3969923890852</c:v>
                </c:pt>
                <c:pt idx="14">
                  <c:v>361.47133840185245</c:v>
                </c:pt>
                <c:pt idx="15">
                  <c:v>368.87968185963933</c:v>
                </c:pt>
                <c:pt idx="16">
                  <c:v>374.78627799833811</c:v>
                </c:pt>
                <c:pt idx="17">
                  <c:v>379.34874147289906</c:v>
                </c:pt>
                <c:pt idx="18">
                  <c:v>382.7148354503629</c:v>
                </c:pt>
                <c:pt idx="19">
                  <c:v>385.02044242240822</c:v>
                </c:pt>
                <c:pt idx="20">
                  <c:v>386.38850261884625</c:v>
                </c:pt>
                <c:pt idx="21">
                  <c:v>386.9286546254346</c:v>
                </c:pt>
                <c:pt idx="22">
                  <c:v>386.73728767877941</c:v>
                </c:pt>
                <c:pt idx="23">
                  <c:v>385.89768213625143</c:v>
                </c:pt>
                <c:pt idx="24">
                  <c:v>384.47981467747746</c:v>
                </c:pt>
                <c:pt idx="25">
                  <c:v>382.53910104774354</c:v>
                </c:pt>
                <c:pt idx="26">
                  <c:v>380.11241757808028</c:v>
                </c:pt>
                <c:pt idx="27">
                  <c:v>377.2064125484012</c:v>
                </c:pt>
                <c:pt idx="28">
                  <c:v>373.75768391033961</c:v>
                </c:pt>
                <c:pt idx="29">
                  <c:v>369.41381370618984</c:v>
                </c:pt>
                <c:pt idx="30">
                  <c:v>365.74104586475318</c:v>
                </c:pt>
                <c:pt idx="31">
                  <c:v>366.58188731012615</c:v>
                </c:pt>
                <c:pt idx="32">
                  <c:v>368.11629541010848</c:v>
                </c:pt>
                <c:pt idx="33">
                  <c:v>369.79111517605276</c:v>
                </c:pt>
                <c:pt idx="34">
                  <c:v>371.54199206606239</c:v>
                </c:pt>
                <c:pt idx="35">
                  <c:v>373.36927674650627</c:v>
                </c:pt>
                <c:pt idx="36">
                  <c:v>375.2644617084498</c:v>
                </c:pt>
                <c:pt idx="37">
                  <c:v>377.207175618176</c:v>
                </c:pt>
                <c:pt idx="38">
                  <c:v>379.16964116703338</c:v>
                </c:pt>
                <c:pt idx="39">
                  <c:v>381.11982409610346</c:v>
                </c:pt>
                <c:pt idx="40">
                  <c:v>383.02377905833578</c:v>
                </c:pt>
                <c:pt idx="41">
                  <c:v>384.84744667474132</c:v>
                </c:pt>
                <c:pt idx="42">
                  <c:v>386.55801436394705</c:v>
                </c:pt>
                <c:pt idx="43">
                  <c:v>388.12492636011831</c:v>
                </c:pt>
                <c:pt idx="44">
                  <c:v>389.52061220999275</c:v>
                </c:pt>
                <c:pt idx="45">
                  <c:v>390.72098517234696</c:v>
                </c:pt>
                <c:pt idx="46">
                  <c:v>391.705758602152</c:v>
                </c:pt>
                <c:pt idx="47">
                  <c:v>392.45862433429403</c:v>
                </c:pt>
                <c:pt idx="48">
                  <c:v>392.96733475751734</c:v>
                </c:pt>
                <c:pt idx="49">
                  <c:v>393.22372867134771</c:v>
                </c:pt>
                <c:pt idx="50">
                  <c:v>393.22372867134771</c:v>
                </c:pt>
                <c:pt idx="51">
                  <c:v>392.96733475751734</c:v>
                </c:pt>
                <c:pt idx="52">
                  <c:v>392.45862433429403</c:v>
                </c:pt>
                <c:pt idx="53">
                  <c:v>391.705758602152</c:v>
                </c:pt>
                <c:pt idx="54">
                  <c:v>390.72098517234696</c:v>
                </c:pt>
                <c:pt idx="55">
                  <c:v>389.52061220999275</c:v>
                </c:pt>
                <c:pt idx="56">
                  <c:v>388.12492636011831</c:v>
                </c:pt>
                <c:pt idx="57">
                  <c:v>386.55801436394705</c:v>
                </c:pt>
                <c:pt idx="58">
                  <c:v>384.84744667474132</c:v>
                </c:pt>
                <c:pt idx="59">
                  <c:v>383.02377905833578</c:v>
                </c:pt>
                <c:pt idx="60">
                  <c:v>381.11982409610346</c:v>
                </c:pt>
                <c:pt idx="61">
                  <c:v>379.16964116703338</c:v>
                </c:pt>
                <c:pt idx="62">
                  <c:v>377.207175618176</c:v>
                </c:pt>
                <c:pt idx="63">
                  <c:v>375.2644617084498</c:v>
                </c:pt>
                <c:pt idx="64">
                  <c:v>373.36927674650627</c:v>
                </c:pt>
                <c:pt idx="65">
                  <c:v>371.54199206606239</c:v>
                </c:pt>
                <c:pt idx="66">
                  <c:v>369.79111517605276</c:v>
                </c:pt>
                <c:pt idx="67">
                  <c:v>368.11629541010848</c:v>
                </c:pt>
                <c:pt idx="68">
                  <c:v>366.58188731012615</c:v>
                </c:pt>
                <c:pt idx="69">
                  <c:v>365.74104586475318</c:v>
                </c:pt>
                <c:pt idx="70">
                  <c:v>369.41381370618984</c:v>
                </c:pt>
                <c:pt idx="71">
                  <c:v>373.75768391033961</c:v>
                </c:pt>
                <c:pt idx="72">
                  <c:v>377.2064125484012</c:v>
                </c:pt>
                <c:pt idx="73">
                  <c:v>380.11241757808028</c:v>
                </c:pt>
                <c:pt idx="74">
                  <c:v>382.53910104774354</c:v>
                </c:pt>
                <c:pt idx="75">
                  <c:v>384.47981467747746</c:v>
                </c:pt>
                <c:pt idx="76">
                  <c:v>385.89768213625143</c:v>
                </c:pt>
                <c:pt idx="77">
                  <c:v>386.73728767877941</c:v>
                </c:pt>
                <c:pt idx="78">
                  <c:v>386.9286546254346</c:v>
                </c:pt>
                <c:pt idx="79">
                  <c:v>386.38850261884625</c:v>
                </c:pt>
                <c:pt idx="80">
                  <c:v>385.02044242240822</c:v>
                </c:pt>
                <c:pt idx="81">
                  <c:v>382.7148354503629</c:v>
                </c:pt>
                <c:pt idx="82">
                  <c:v>379.34874147289906</c:v>
                </c:pt>
                <c:pt idx="83">
                  <c:v>374.78627799833811</c:v>
                </c:pt>
                <c:pt idx="84">
                  <c:v>368.87968185963933</c:v>
                </c:pt>
                <c:pt idx="85">
                  <c:v>361.47133840185245</c:v>
                </c:pt>
                <c:pt idx="86">
                  <c:v>352.3969923890852</c:v>
                </c:pt>
                <c:pt idx="87">
                  <c:v>341.49026105452549</c:v>
                </c:pt>
                <c:pt idx="88">
                  <c:v>328.58841297761285</c:v>
                </c:pt>
                <c:pt idx="89">
                  <c:v>313.53919068029137</c:v>
                </c:pt>
                <c:pt idx="90">
                  <c:v>296.20825407995699</c:v>
                </c:pt>
                <c:pt idx="91">
                  <c:v>276.4866717341348</c:v>
                </c:pt>
                <c:pt idx="92">
                  <c:v>254.2977967484785</c:v>
                </c:pt>
                <c:pt idx="93">
                  <c:v>229.60284489962498</c:v>
                </c:pt>
                <c:pt idx="94">
                  <c:v>202.40494952377142</c:v>
                </c:pt>
                <c:pt idx="95">
                  <c:v>172.75599660559874</c:v>
                </c:pt>
                <c:pt idx="96">
                  <c:v>140.80976241237363</c:v>
                </c:pt>
                <c:pt idx="97">
                  <c:v>107.17632012508355</c:v>
                </c:pt>
                <c:pt idx="98">
                  <c:v>73.442655472046695</c:v>
                </c:pt>
                <c:pt idx="99">
                  <c:v>42.278207195640427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52-4B83-AE0E-46ECBEE97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8641296"/>
        <c:axId val="1408641776"/>
      </c:scatterChart>
      <c:valAx>
        <c:axId val="140864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776"/>
        <c:crosses val="autoZero"/>
        <c:crossBetween val="midCat"/>
        <c:majorUnit val="0.2"/>
      </c:valAx>
      <c:valAx>
        <c:axId val="14086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8641296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Distribuição da Asa SEM /COM endplate vs Semi-Envergadura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Força de Sustentação COM Endplate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758C4"/>
                </a:solidFill>
              </a:ln>
              <a:effectLst/>
            </c:spPr>
          </c:marker>
          <c:xVal>
            <c:numRef>
              <c:f>'Distrib. ASA INCD. ESTOL'!$CI$53:$CI$102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ESTOL'!$CH$53:$CH$102</c:f>
              <c:numCache>
                <c:formatCode>0.00</c:formatCode>
                <c:ptCount val="50"/>
                <c:pt idx="0">
                  <c:v>417.85381799143937</c:v>
                </c:pt>
                <c:pt idx="1">
                  <c:v>417.59678753244373</c:v>
                </c:pt>
                <c:pt idx="2">
                  <c:v>417.08635253957124</c:v>
                </c:pt>
                <c:pt idx="3">
                  <c:v>416.32981686743454</c:v>
                </c:pt>
                <c:pt idx="4">
                  <c:v>415.33825207305426</c:v>
                </c:pt>
                <c:pt idx="5">
                  <c:v>414.12659721196343</c:v>
                </c:pt>
                <c:pt idx="6">
                  <c:v>412.71372827421595</c:v>
                </c:pt>
                <c:pt idx="7">
                  <c:v>411.12244554645201</c:v>
                </c:pt>
                <c:pt idx="8">
                  <c:v>409.37932064931022</c:v>
                </c:pt>
                <c:pt idx="9">
                  <c:v>407.51433904366905</c:v>
                </c:pt>
                <c:pt idx="10">
                  <c:v>405.56027975500604</c:v>
                </c:pt>
                <c:pt idx="11">
                  <c:v>403.55176273460432</c:v>
                </c:pt>
                <c:pt idx="12">
                  <c:v>401.52389209737936</c:v>
                </c:pt>
                <c:pt idx="13">
                  <c:v>399.51038338334115</c:v>
                </c:pt>
                <c:pt idx="14">
                  <c:v>397.54101636008761</c:v>
                </c:pt>
                <c:pt idx="15">
                  <c:v>395.63818631929757</c:v>
                </c:pt>
                <c:pt idx="16">
                  <c:v>393.81166136756531</c:v>
                </c:pt>
                <c:pt idx="17">
                  <c:v>392.05007637010232</c:v>
                </c:pt>
                <c:pt idx="18">
                  <c:v>390.3226177181553</c:v>
                </c:pt>
                <c:pt idx="19">
                  <c:v>388.40336489925841</c:v>
                </c:pt>
                <c:pt idx="20">
                  <c:v>393.53147719555182</c:v>
                </c:pt>
                <c:pt idx="21">
                  <c:v>398.22586371141017</c:v>
                </c:pt>
                <c:pt idx="22">
                  <c:v>401.97076743086183</c:v>
                </c:pt>
                <c:pt idx="23">
                  <c:v>405.14150421540251</c:v>
                </c:pt>
                <c:pt idx="24">
                  <c:v>407.81201063083114</c:v>
                </c:pt>
                <c:pt idx="25">
                  <c:v>409.98243847762643</c:v>
                </c:pt>
                <c:pt idx="26">
                  <c:v>411.62133091974351</c:v>
                </c:pt>
                <c:pt idx="27">
                  <c:v>412.67773863229746</c:v>
                </c:pt>
                <c:pt idx="28">
                  <c:v>413.08502716093852</c:v>
                </c:pt>
                <c:pt idx="29">
                  <c:v>412.76169025283792</c:v>
                </c:pt>
                <c:pt idx="30">
                  <c:v>411.6109381796004</c:v>
                </c:pt>
                <c:pt idx="31">
                  <c:v>409.51983080400385</c:v>
                </c:pt>
                <c:pt idx="32">
                  <c:v>406.35841311622045</c:v>
                </c:pt>
                <c:pt idx="33">
                  <c:v>401.97922932702107</c:v>
                </c:pt>
                <c:pt idx="34">
                  <c:v>396.21759959496404</c:v>
                </c:pt>
                <c:pt idx="35">
                  <c:v>388.89307455098162</c:v>
                </c:pt>
                <c:pt idx="36">
                  <c:v>379.8124848174715</c:v>
                </c:pt>
                <c:pt idx="37">
                  <c:v>368.77493749563189</c:v>
                </c:pt>
                <c:pt idx="38">
                  <c:v>355.57892347840209</c:v>
                </c:pt>
                <c:pt idx="39">
                  <c:v>340.03138422431851</c:v>
                </c:pt>
                <c:pt idx="40">
                  <c:v>321.95818875055517</c:v>
                </c:pt>
                <c:pt idx="41">
                  <c:v>301.21508592851558</c:v>
                </c:pt>
                <c:pt idx="42">
                  <c:v>277.6980086131702</c:v>
                </c:pt>
                <c:pt idx="43">
                  <c:v>251.35164739219968</c:v>
                </c:pt>
                <c:pt idx="44">
                  <c:v>222.17548875872154</c:v>
                </c:pt>
                <c:pt idx="45">
                  <c:v>190.22819030614016</c:v>
                </c:pt>
                <c:pt idx="46">
                  <c:v>155.64923938802895</c:v>
                </c:pt>
                <c:pt idx="47">
                  <c:v>118.88090494144882</c:v>
                </c:pt>
                <c:pt idx="48">
                  <c:v>81.483605402934998</c:v>
                </c:pt>
                <c:pt idx="49">
                  <c:v>46.916419704663561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6A-4D63-9921-F2ECE09E9ED8}"/>
            </c:ext>
          </c:extLst>
        </c:ser>
        <c:ser>
          <c:idx val="1"/>
          <c:order val="1"/>
          <c:tx>
            <c:v>Força de Sustentação SEM Endplate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'Distrib. ASA INCD. ESTOL'!$CI$53:$CI$102</c:f>
              <c:numCache>
                <c:formatCode>General</c:formatCode>
                <c:ptCount val="50"/>
                <c:pt idx="0">
                  <c:v>1.373034175E-2</c:v>
                </c:pt>
                <c:pt idx="1">
                  <c:v>4.1106373129999998E-2</c:v>
                </c:pt>
                <c:pt idx="2">
                  <c:v>6.8228970060000005E-2</c:v>
                </c:pt>
                <c:pt idx="3">
                  <c:v>9.4930912689999994E-2</c:v>
                </c:pt>
                <c:pt idx="4">
                  <c:v>0.12104757469999999</c:v>
                </c:pt>
                <c:pt idx="5">
                  <c:v>0.14641793810000001</c:v>
                </c:pt>
                <c:pt idx="6">
                  <c:v>0.1708855863</c:v>
                </c:pt>
                <c:pt idx="7">
                  <c:v>0.19429966800000001</c:v>
                </c:pt>
                <c:pt idx="8">
                  <c:v>0.21651582759999999</c:v>
                </c:pt>
                <c:pt idx="9">
                  <c:v>0.23739709519999999</c:v>
                </c:pt>
                <c:pt idx="10">
                  <c:v>0.25681473069999999</c:v>
                </c:pt>
                <c:pt idx="11">
                  <c:v>0.27464901800000002</c:v>
                </c:pt>
                <c:pt idx="12">
                  <c:v>0.2907900028</c:v>
                </c:pt>
                <c:pt idx="13">
                  <c:v>0.30513817050000003</c:v>
                </c:pt>
                <c:pt idx="14">
                  <c:v>0.31760505989999999</c:v>
                </c:pt>
                <c:pt idx="15">
                  <c:v>0.32811380849999999</c:v>
                </c:pt>
                <c:pt idx="16">
                  <c:v>0.33659962640000002</c:v>
                </c:pt>
                <c:pt idx="17">
                  <c:v>0.34301019570000002</c:v>
                </c:pt>
                <c:pt idx="18">
                  <c:v>0.34730599299999998</c:v>
                </c:pt>
                <c:pt idx="19">
                  <c:v>0.3494605334</c:v>
                </c:pt>
                <c:pt idx="20">
                  <c:v>0.3637381885</c:v>
                </c:pt>
                <c:pt idx="21">
                  <c:v>0.3911769101</c:v>
                </c:pt>
                <c:pt idx="22">
                  <c:v>0.41850276870000003</c:v>
                </c:pt>
                <c:pt idx="23">
                  <c:v>0.44564086590000002</c:v>
                </c:pt>
                <c:pt idx="24">
                  <c:v>0.47251681820000002</c:v>
                </c:pt>
                <c:pt idx="25">
                  <c:v>0.49905696040000003</c:v>
                </c:pt>
                <c:pt idx="26">
                  <c:v>0.52518854780000002</c:v>
                </c:pt>
                <c:pt idx="27">
                  <c:v>0.55083995559999999</c:v>
                </c:pt>
                <c:pt idx="28">
                  <c:v>0.57594087500000002</c:v>
                </c:pt>
                <c:pt idx="29">
                  <c:v>0.60042250620000004</c:v>
                </c:pt>
                <c:pt idx="30">
                  <c:v>0.62421774669999996</c:v>
                </c:pt>
                <c:pt idx="31">
                  <c:v>0.64726137539999995</c:v>
                </c:pt>
                <c:pt idx="32">
                  <c:v>0.66949023139999997</c:v>
                </c:pt>
                <c:pt idx="33">
                  <c:v>0.69084338680000001</c:v>
                </c:pt>
                <c:pt idx="34">
                  <c:v>0.71126231419999997</c:v>
                </c:pt>
                <c:pt idx="35">
                  <c:v>0.73069104669999996</c:v>
                </c:pt>
                <c:pt idx="36">
                  <c:v>0.74907633159999998</c:v>
                </c:pt>
                <c:pt idx="37">
                  <c:v>0.76636777590000005</c:v>
                </c:pt>
                <c:pt idx="38">
                  <c:v>0.78251798510000004</c:v>
                </c:pt>
                <c:pt idx="39">
                  <c:v>0.79748269260000004</c:v>
                </c:pt>
                <c:pt idx="40">
                  <c:v>0.81122088110000001</c:v>
                </c:pt>
                <c:pt idx="41">
                  <c:v>0.82369489520000005</c:v>
                </c:pt>
                <c:pt idx="42">
                  <c:v>0.83487054459999999</c:v>
                </c:pt>
                <c:pt idx="43">
                  <c:v>0.84471719749999996</c:v>
                </c:pt>
                <c:pt idx="44">
                  <c:v>0.8532078649</c:v>
                </c:pt>
                <c:pt idx="45">
                  <c:v>0.86031927460000002</c:v>
                </c:pt>
                <c:pt idx="46">
                  <c:v>0.86603193460000005</c:v>
                </c:pt>
                <c:pt idx="47">
                  <c:v>0.87033018689999997</c:v>
                </c:pt>
                <c:pt idx="48">
                  <c:v>0.87320225039999999</c:v>
                </c:pt>
                <c:pt idx="49">
                  <c:v>0.87464025290000003</c:v>
                </c:pt>
              </c:numCache>
            </c:numRef>
          </c:xVal>
          <c:yVal>
            <c:numRef>
              <c:f>'Distrib. ASA INCD. ESTOL'!$CG$53:$CG$102</c:f>
              <c:numCache>
                <c:formatCode>General</c:formatCode>
                <c:ptCount val="50"/>
                <c:pt idx="0">
                  <c:v>393.22372867134771</c:v>
                </c:pt>
                <c:pt idx="1">
                  <c:v>392.96733475751734</c:v>
                </c:pt>
                <c:pt idx="2">
                  <c:v>392.45862433429403</c:v>
                </c:pt>
                <c:pt idx="3">
                  <c:v>391.705758602152</c:v>
                </c:pt>
                <c:pt idx="4">
                  <c:v>390.72098517234696</c:v>
                </c:pt>
                <c:pt idx="5">
                  <c:v>389.52061220999275</c:v>
                </c:pt>
                <c:pt idx="6">
                  <c:v>388.12492636011831</c:v>
                </c:pt>
                <c:pt idx="7">
                  <c:v>386.55801436394705</c:v>
                </c:pt>
                <c:pt idx="8">
                  <c:v>384.84744667474132</c:v>
                </c:pt>
                <c:pt idx="9">
                  <c:v>383.02377905833578</c:v>
                </c:pt>
                <c:pt idx="10">
                  <c:v>381.11982409610346</c:v>
                </c:pt>
                <c:pt idx="11">
                  <c:v>379.16964116703338</c:v>
                </c:pt>
                <c:pt idx="12">
                  <c:v>377.207175618176</c:v>
                </c:pt>
                <c:pt idx="13">
                  <c:v>375.2644617084498</c:v>
                </c:pt>
                <c:pt idx="14">
                  <c:v>373.36927674650627</c:v>
                </c:pt>
                <c:pt idx="15">
                  <c:v>371.54199206606239</c:v>
                </c:pt>
                <c:pt idx="16">
                  <c:v>369.79111517605276</c:v>
                </c:pt>
                <c:pt idx="17">
                  <c:v>368.11629541010848</c:v>
                </c:pt>
                <c:pt idx="18">
                  <c:v>366.58188731012615</c:v>
                </c:pt>
                <c:pt idx="19">
                  <c:v>365.74104586475318</c:v>
                </c:pt>
                <c:pt idx="20">
                  <c:v>369.41381370618984</c:v>
                </c:pt>
                <c:pt idx="21">
                  <c:v>373.75768391033961</c:v>
                </c:pt>
                <c:pt idx="22">
                  <c:v>377.2064125484012</c:v>
                </c:pt>
                <c:pt idx="23">
                  <c:v>380.11241757808028</c:v>
                </c:pt>
                <c:pt idx="24">
                  <c:v>382.53910104774354</c:v>
                </c:pt>
                <c:pt idx="25">
                  <c:v>384.47981467747746</c:v>
                </c:pt>
                <c:pt idx="26">
                  <c:v>385.89768213625143</c:v>
                </c:pt>
                <c:pt idx="27">
                  <c:v>386.73728767877941</c:v>
                </c:pt>
                <c:pt idx="28">
                  <c:v>386.9286546254346</c:v>
                </c:pt>
                <c:pt idx="29">
                  <c:v>386.38850261884625</c:v>
                </c:pt>
                <c:pt idx="30">
                  <c:v>385.02044242240822</c:v>
                </c:pt>
                <c:pt idx="31">
                  <c:v>382.7148354503629</c:v>
                </c:pt>
                <c:pt idx="32">
                  <c:v>379.34874147289906</c:v>
                </c:pt>
                <c:pt idx="33">
                  <c:v>374.78627799833811</c:v>
                </c:pt>
                <c:pt idx="34">
                  <c:v>368.87968185963933</c:v>
                </c:pt>
                <c:pt idx="35">
                  <c:v>361.47133840185245</c:v>
                </c:pt>
                <c:pt idx="36">
                  <c:v>352.3969923890852</c:v>
                </c:pt>
                <c:pt idx="37">
                  <c:v>341.49026105452549</c:v>
                </c:pt>
                <c:pt idx="38">
                  <c:v>328.58841297761285</c:v>
                </c:pt>
                <c:pt idx="39">
                  <c:v>313.53919068029137</c:v>
                </c:pt>
                <c:pt idx="40">
                  <c:v>296.20825407995699</c:v>
                </c:pt>
                <c:pt idx="41">
                  <c:v>276.4866717341348</c:v>
                </c:pt>
                <c:pt idx="42">
                  <c:v>254.2977967484785</c:v>
                </c:pt>
                <c:pt idx="43">
                  <c:v>229.60284489962498</c:v>
                </c:pt>
                <c:pt idx="44">
                  <c:v>202.40494952377142</c:v>
                </c:pt>
                <c:pt idx="45">
                  <c:v>172.75599660559874</c:v>
                </c:pt>
                <c:pt idx="46">
                  <c:v>140.80976241237363</c:v>
                </c:pt>
                <c:pt idx="47">
                  <c:v>107.17632012508355</c:v>
                </c:pt>
                <c:pt idx="48">
                  <c:v>73.442655472046695</c:v>
                </c:pt>
                <c:pt idx="49">
                  <c:v>42.278207195640427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6A-4D63-9921-F2ECE09E9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924512"/>
        <c:axId val="1430924992"/>
      </c:scatterChart>
      <c:valAx>
        <c:axId val="143092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Envergadura [m/2]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992"/>
        <c:crosses val="autoZero"/>
        <c:crossBetween val="midCat"/>
      </c:valAx>
      <c:valAx>
        <c:axId val="14309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Força de Susentação [N/m]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0924512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SUSTENTAÇÃO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CRUZEIRO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083176578021089"/>
                  <c:y val="-1.72247130614314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superior'!$F$40:$F$74</c:f>
              <c:numCache>
                <c:formatCode>_(* #,##0.00_);_(* \(#,##0.00\);_(* "-"??_);_(@_)</c:formatCode>
                <c:ptCount val="35"/>
                <c:pt idx="0">
                  <c:v>74.498716868688163</c:v>
                </c:pt>
                <c:pt idx="1">
                  <c:v>74.458007741828638</c:v>
                </c:pt>
                <c:pt idx="2">
                  <c:v>74.377136380848043</c:v>
                </c:pt>
                <c:pt idx="3">
                  <c:v>74.257157681796329</c:v>
                </c:pt>
                <c:pt idx="4">
                  <c:v>74.099569413736205</c:v>
                </c:pt>
                <c:pt idx="5">
                  <c:v>73.906245049054903</c:v>
                </c:pt>
                <c:pt idx="6">
                  <c:v>73.679395991362327</c:v>
                </c:pt>
                <c:pt idx="7">
                  <c:v>73.421591502932444</c:v>
                </c:pt>
                <c:pt idx="8">
                  <c:v>73.135850900307545</c:v>
                </c:pt>
                <c:pt idx="9">
                  <c:v>72.825798992680546</c:v>
                </c:pt>
                <c:pt idx="10">
                  <c:v>72.495851547037432</c:v>
                </c:pt>
                <c:pt idx="11">
                  <c:v>72.151375640601145</c:v>
                </c:pt>
                <c:pt idx="12">
                  <c:v>71.798750397763854</c:v>
                </c:pt>
                <c:pt idx="13">
                  <c:v>71.445237206793848</c:v>
                </c:pt>
                <c:pt idx="14">
                  <c:v>71.098552380897956</c:v>
                </c:pt>
                <c:pt idx="15">
                  <c:v>70.766018999884778</c:v>
                </c:pt>
                <c:pt idx="16">
                  <c:v>70.453167736918715</c:v>
                </c:pt>
                <c:pt idx="17">
                  <c:v>70.161705159861071</c:v>
                </c:pt>
                <c:pt idx="18">
                  <c:v>69.887460434605828</c:v>
                </c:pt>
                <c:pt idx="19">
                  <c:v>69.630386698579741</c:v>
                </c:pt>
                <c:pt idx="20">
                  <c:v>69.692444309334618</c:v>
                </c:pt>
                <c:pt idx="21">
                  <c:v>69.138500771253987</c:v>
                </c:pt>
                <c:pt idx="22">
                  <c:v>68.269136046216403</c:v>
                </c:pt>
                <c:pt idx="23">
                  <c:v>67.053274878488267</c:v>
                </c:pt>
                <c:pt idx="24">
                  <c:v>65.426272572075916</c:v>
                </c:pt>
                <c:pt idx="25">
                  <c:v>63.315140755927338</c:v>
                </c:pt>
                <c:pt idx="26">
                  <c:v>60.64491380552959</c:v>
                </c:pt>
                <c:pt idx="27">
                  <c:v>57.341437860277487</c:v>
                </c:pt>
                <c:pt idx="28">
                  <c:v>53.332942835001823</c:v>
                </c:pt>
                <c:pt idx="29">
                  <c:v>48.551969024968678</c:v>
                </c:pt>
                <c:pt idx="30">
                  <c:v>42.939279523267807</c:v>
                </c:pt>
                <c:pt idx="31">
                  <c:v>36.451473295336726</c:v>
                </c:pt>
                <c:pt idx="32">
                  <c:v>29.076046549655125</c:v>
                </c:pt>
                <c:pt idx="33">
                  <c:v>20.877794615015752</c:v>
                </c:pt>
                <c:pt idx="34">
                  <c:v>12.404804683146425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2-46AF-9441-7CA0504FFC9D}"/>
            </c:ext>
          </c:extLst>
        </c:ser>
        <c:ser>
          <c:idx val="3"/>
          <c:order val="1"/>
          <c:tx>
            <c:v>ESTOL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1475960441776457"/>
                  <c:y val="-0.16769337429983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superior'!$G$40:$G$74</c:f>
              <c:numCache>
                <c:formatCode>_(* #,##0.00_);_(* \(#,##0.00\);_(* "-"??_);_(@_)</c:formatCode>
                <c:ptCount val="35"/>
                <c:pt idx="0">
                  <c:v>289.01878780483656</c:v>
                </c:pt>
                <c:pt idx="1">
                  <c:v>288.75108991123795</c:v>
                </c:pt>
                <c:pt idx="2">
                  <c:v>288.2193641577864</c:v>
                </c:pt>
                <c:pt idx="3">
                  <c:v>287.43081664142255</c:v>
                </c:pt>
                <c:pt idx="4">
                  <c:v>286.39596453853892</c:v>
                </c:pt>
                <c:pt idx="5">
                  <c:v>285.12841144667175</c:v>
                </c:pt>
                <c:pt idx="6">
                  <c:v>283.64475691369984</c:v>
                </c:pt>
                <c:pt idx="7">
                  <c:v>281.96477282336321</c:v>
                </c:pt>
                <c:pt idx="8">
                  <c:v>280.11191617161455</c:v>
                </c:pt>
                <c:pt idx="9">
                  <c:v>278.11410457711946</c:v>
                </c:pt>
                <c:pt idx="10">
                  <c:v>276.00454559693333</c:v>
                </c:pt>
                <c:pt idx="11">
                  <c:v>273.82231046758949</c:v>
                </c:pt>
                <c:pt idx="12">
                  <c:v>271.61230655164138</c:v>
                </c:pt>
                <c:pt idx="13">
                  <c:v>269.42430526470258</c:v>
                </c:pt>
                <c:pt idx="14">
                  <c:v>267.31068713954335</c:v>
                </c:pt>
                <c:pt idx="15">
                  <c:v>265.32268077915319</c:v>
                </c:pt>
                <c:pt idx="16">
                  <c:v>263.50643345166958</c:v>
                </c:pt>
                <c:pt idx="17">
                  <c:v>261.90975723984013</c:v>
                </c:pt>
                <c:pt idx="18">
                  <c:v>260.63508982357166</c:v>
                </c:pt>
                <c:pt idx="19">
                  <c:v>259.97888698710148</c:v>
                </c:pt>
                <c:pt idx="20">
                  <c:v>259.23380071068931</c:v>
                </c:pt>
                <c:pt idx="21">
                  <c:v>256.41838626202536</c:v>
                </c:pt>
                <c:pt idx="22">
                  <c:v>251.90632015932786</c:v>
                </c:pt>
                <c:pt idx="23">
                  <c:v>245.64199800683031</c:v>
                </c:pt>
                <c:pt idx="24">
                  <c:v>237.40479287076411</c:v>
                </c:pt>
                <c:pt idx="25">
                  <c:v>226.96332654505815</c:v>
                </c:pt>
                <c:pt idx="26">
                  <c:v>214.13363598473279</c:v>
                </c:pt>
                <c:pt idx="27">
                  <c:v>198.81071984508131</c:v>
                </c:pt>
                <c:pt idx="28">
                  <c:v>180.98091421470002</c:v>
                </c:pt>
                <c:pt idx="29">
                  <c:v>160.72298368901087</c:v>
                </c:pt>
                <c:pt idx="30">
                  <c:v>138.20706924040519</c:v>
                </c:pt>
                <c:pt idx="31">
                  <c:v>113.69895466501634</c:v>
                </c:pt>
                <c:pt idx="32">
                  <c:v>87.580248231932615</c:v>
                </c:pt>
                <c:pt idx="33">
                  <c:v>60.448655973936759</c:v>
                </c:pt>
                <c:pt idx="34">
                  <c:v>34.094135380006918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2-46AF-9441-7CA0504F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05567"/>
        <c:axId val="1987708895"/>
      </c:scatterChart>
      <c:valAx>
        <c:axId val="198770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708895"/>
        <c:crosses val="autoZero"/>
        <c:crossBetween val="midCat"/>
      </c:valAx>
      <c:valAx>
        <c:axId val="198770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70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 TORSOR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CRUZEIRO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5197646939661238"/>
                  <c:y val="-0.4622573102337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superior'!$H$40:$H$74</c:f>
              <c:numCache>
                <c:formatCode>0.0000000000</c:formatCode>
                <c:ptCount val="35"/>
                <c:pt idx="0">
                  <c:v>2.0242133209999999E-2</c:v>
                </c:pt>
                <c:pt idx="1">
                  <c:v>2.0242133209999999E-2</c:v>
                </c:pt>
                <c:pt idx="2">
                  <c:v>2.0242133209999999E-2</c:v>
                </c:pt>
                <c:pt idx="3">
                  <c:v>2.0242133209999999E-2</c:v>
                </c:pt>
                <c:pt idx="4">
                  <c:v>2.0242133209999999E-2</c:v>
                </c:pt>
                <c:pt idx="5">
                  <c:v>2.0242133209999999E-2</c:v>
                </c:pt>
                <c:pt idx="6">
                  <c:v>2.0242133209999999E-2</c:v>
                </c:pt>
                <c:pt idx="7">
                  <c:v>2.0242133209999999E-2</c:v>
                </c:pt>
                <c:pt idx="8">
                  <c:v>2.0242133209999999E-2</c:v>
                </c:pt>
                <c:pt idx="9">
                  <c:v>2.0242133209999999E-2</c:v>
                </c:pt>
                <c:pt idx="10">
                  <c:v>2.0242133209999999E-2</c:v>
                </c:pt>
                <c:pt idx="11">
                  <c:v>2.0242133209999999E-2</c:v>
                </c:pt>
                <c:pt idx="12">
                  <c:v>2.0242133209999999E-2</c:v>
                </c:pt>
                <c:pt idx="13">
                  <c:v>2.0242133209999999E-2</c:v>
                </c:pt>
                <c:pt idx="14">
                  <c:v>2.0242133209999999E-2</c:v>
                </c:pt>
                <c:pt idx="15">
                  <c:v>2.0242133209999999E-2</c:v>
                </c:pt>
                <c:pt idx="16">
                  <c:v>2.0242133209999999E-2</c:v>
                </c:pt>
                <c:pt idx="17">
                  <c:v>2.0242133209999999E-2</c:v>
                </c:pt>
                <c:pt idx="18">
                  <c:v>2.0242133209999999E-2</c:v>
                </c:pt>
                <c:pt idx="19">
                  <c:v>2.0242133209999999E-2</c:v>
                </c:pt>
                <c:pt idx="20">
                  <c:v>2.0242133209999999E-2</c:v>
                </c:pt>
                <c:pt idx="21">
                  <c:v>1.7681197879999999E-2</c:v>
                </c:pt>
                <c:pt idx="22">
                  <c:v>1.5227841359999999E-2</c:v>
                </c:pt>
                <c:pt idx="23">
                  <c:v>1.2909942589999999E-2</c:v>
                </c:pt>
                <c:pt idx="24">
                  <c:v>1.0748741270000001E-2</c:v>
                </c:pt>
                <c:pt idx="25">
                  <c:v>8.7613175339999998E-3</c:v>
                </c:pt>
                <c:pt idx="26">
                  <c:v>6.9613985329999998E-3</c:v>
                </c:pt>
                <c:pt idx="27">
                  <c:v>5.3598707630000001E-3</c:v>
                </c:pt>
                <c:pt idx="28">
                  <c:v>3.9651427460000001E-3</c:v>
                </c:pt>
                <c:pt idx="29">
                  <c:v>2.7833220600000002E-3</c:v>
                </c:pt>
                <c:pt idx="30">
                  <c:v>1.8180722979999999E-3</c:v>
                </c:pt>
                <c:pt idx="31">
                  <c:v>1.0698911140000001E-3</c:v>
                </c:pt>
                <c:pt idx="32">
                  <c:v>5.3438577400000001E-4</c:v>
                </c:pt>
                <c:pt idx="33">
                  <c:v>1.989415051E-4</c:v>
                </c:pt>
                <c:pt idx="34">
                  <c:v>3.7067841029999999E-5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93-4953-AE3B-90FFAD44D906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3835559607073435"/>
                  <c:y val="-0.11544896240332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superior'!$I$40:$I$74</c:f>
              <c:numCache>
                <c:formatCode>General</c:formatCode>
                <c:ptCount val="35"/>
                <c:pt idx="0">
                  <c:v>-1.0294474350000001E-2</c:v>
                </c:pt>
                <c:pt idx="1">
                  <c:v>-1.0294474350000001E-2</c:v>
                </c:pt>
                <c:pt idx="2">
                  <c:v>-1.0294474350000001E-2</c:v>
                </c:pt>
                <c:pt idx="3" formatCode="0,000,000,000">
                  <c:v>-1.0294474350000001E-2</c:v>
                </c:pt>
                <c:pt idx="4">
                  <c:v>-1.0294474350000001E-2</c:v>
                </c:pt>
                <c:pt idx="5">
                  <c:v>-1.0294474350000001E-2</c:v>
                </c:pt>
                <c:pt idx="6">
                  <c:v>-1.0294474350000001E-2</c:v>
                </c:pt>
                <c:pt idx="7">
                  <c:v>-1.0294474350000001E-2</c:v>
                </c:pt>
                <c:pt idx="8">
                  <c:v>-1.0294474350000001E-2</c:v>
                </c:pt>
                <c:pt idx="9">
                  <c:v>-1.0294474350000001E-2</c:v>
                </c:pt>
                <c:pt idx="10">
                  <c:v>-1.0294474350000001E-2</c:v>
                </c:pt>
                <c:pt idx="11">
                  <c:v>-1.0294474350000001E-2</c:v>
                </c:pt>
                <c:pt idx="12">
                  <c:v>-1.0294474350000001E-2</c:v>
                </c:pt>
                <c:pt idx="13">
                  <c:v>-1.0294474350000001E-2</c:v>
                </c:pt>
                <c:pt idx="14">
                  <c:v>-1.0294474350000001E-2</c:v>
                </c:pt>
                <c:pt idx="15">
                  <c:v>-1.0294474350000001E-2</c:v>
                </c:pt>
                <c:pt idx="16">
                  <c:v>-1.0294474350000001E-2</c:v>
                </c:pt>
                <c:pt idx="17">
                  <c:v>-1.0294474350000001E-2</c:v>
                </c:pt>
                <c:pt idx="18">
                  <c:v>-1.0294474350000001E-2</c:v>
                </c:pt>
                <c:pt idx="19">
                  <c:v>-1.0294474350000001E-2</c:v>
                </c:pt>
                <c:pt idx="20" formatCode="0,000,000,000">
                  <c:v>-1.0294474350000001E-2</c:v>
                </c:pt>
                <c:pt idx="21" formatCode="0,000,000,000">
                  <c:v>-8.3677868589999999E-3</c:v>
                </c:pt>
                <c:pt idx="22" formatCode="0,000,000,000">
                  <c:v>-6.5125641740000004E-3</c:v>
                </c:pt>
                <c:pt idx="23" formatCode="0,000,000,000">
                  <c:v>-4.7942829890000004E-3</c:v>
                </c:pt>
                <c:pt idx="24" formatCode="0,000,000,000">
                  <c:v>-3.2660549270000002E-3</c:v>
                </c:pt>
                <c:pt idx="25">
                  <c:v>-1.9720031580000002E-3</c:v>
                </c:pt>
                <c:pt idx="26">
                  <c:v>-9.4358373490000002E-4</c:v>
                </c:pt>
                <c:pt idx="27">
                  <c:v>-1.950155286E-4</c:v>
                </c:pt>
                <c:pt idx="28">
                  <c:v>2.8010989250000002E-4</c:v>
                </c:pt>
                <c:pt idx="29">
                  <c:v>5.0992885300000005E-4</c:v>
                </c:pt>
                <c:pt idx="30">
                  <c:v>5.4260803020000003E-4</c:v>
                </c:pt>
                <c:pt idx="31">
                  <c:v>4.417196541E-4</c:v>
                </c:pt>
                <c:pt idx="32">
                  <c:v>2.7863652530000002E-4</c:v>
                </c:pt>
                <c:pt idx="33">
                  <c:v>1.2170554989999999E-4</c:v>
                </c:pt>
                <c:pt idx="34">
                  <c:v>2.160058291E-5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93-4953-AE3B-90FFAD44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28975"/>
        <c:axId val="26432719"/>
      </c:scatterChart>
      <c:valAx>
        <c:axId val="2642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432719"/>
        <c:crosses val="autoZero"/>
        <c:crossBetween val="midCat"/>
      </c:valAx>
      <c:valAx>
        <c:axId val="2643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42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CORTANTE DA 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"Cruzeiro"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4756126583223919"/>
                  <c:y val="0.30749619434465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superior'!$J$40:$J$74</c:f>
              <c:numCache>
                <c:formatCode>General</c:formatCode>
                <c:ptCount val="35"/>
                <c:pt idx="0">
                  <c:v>-38.824518949999998</c:v>
                </c:pt>
                <c:pt idx="1">
                  <c:v>-36.897095659999998</c:v>
                </c:pt>
                <c:pt idx="2">
                  <c:v>-34.982249400000001</c:v>
                </c:pt>
                <c:pt idx="3">
                  <c:v>-33.092449790000003</c:v>
                </c:pt>
                <c:pt idx="4">
                  <c:v>-31.239954220000001</c:v>
                </c:pt>
                <c:pt idx="5">
                  <c:v>-29.436707649999999</c:v>
                </c:pt>
                <c:pt idx="6">
                  <c:v>-27.694248269999999</c:v>
                </c:pt>
                <c:pt idx="7">
                  <c:v>-26.02361938</c:v>
                </c:pt>
                <c:pt idx="8">
                  <c:v>-24.435286820000002</c:v>
                </c:pt>
                <c:pt idx="9">
                  <c:v>-22.939061670000001</c:v>
                </c:pt>
                <c:pt idx="10">
                  <c:v>-21.544028310000002</c:v>
                </c:pt>
                <c:pt idx="11">
                  <c:v>-20.258479619999999</c:v>
                </c:pt>
                <c:pt idx="12">
                  <c:v>-19.089862409999999</c:v>
                </c:pt>
                <c:pt idx="13">
                  <c:v>-18.044737049999998</c:v>
                </c:pt>
                <c:pt idx="14">
                  <c:v>-17.128754959999998</c:v>
                </c:pt>
                <c:pt idx="15">
                  <c:v>-16.346656280000001</c:v>
                </c:pt>
                <c:pt idx="16">
                  <c:v>-15.7022864</c:v>
                </c:pt>
                <c:pt idx="17">
                  <c:v>-15.19862404</c:v>
                </c:pt>
                <c:pt idx="18">
                  <c:v>-14.83780449</c:v>
                </c:pt>
                <c:pt idx="19">
                  <c:v>-14.62111672</c:v>
                </c:pt>
                <c:pt idx="20">
                  <c:v>-14.548965470000001</c:v>
                </c:pt>
                <c:pt idx="21">
                  <c:v>-12.71454104</c:v>
                </c:pt>
                <c:pt idx="22">
                  <c:v>-10.938398429999999</c:v>
                </c:pt>
                <c:pt idx="23">
                  <c:v>-9.2440319889999998</c:v>
                </c:pt>
                <c:pt idx="24">
                  <c:v>-7.6526078819999999</c:v>
                </c:pt>
                <c:pt idx="25">
                  <c:v>-6.183326514</c:v>
                </c:pt>
                <c:pt idx="26">
                  <c:v>-4.8531092070000001</c:v>
                </c:pt>
                <c:pt idx="27">
                  <c:v>-3.6761140769999998</c:v>
                </c:pt>
                <c:pt idx="28">
                  <c:v>-2.6631465040000002</c:v>
                </c:pt>
                <c:pt idx="29">
                  <c:v>-1.8209715959999999</c:v>
                </c:pt>
                <c:pt idx="30">
                  <c:v>-1.1515267840000001</c:v>
                </c:pt>
                <c:pt idx="31">
                  <c:v>-0.65104108199999999</c:v>
                </c:pt>
                <c:pt idx="32">
                  <c:v>-0.30906661489999998</c:v>
                </c:pt>
                <c:pt idx="33">
                  <c:v>-0.10733982089999999</c:v>
                </c:pt>
                <c:pt idx="34">
                  <c:v>-1.791058853E-2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5E-4ABD-8337-B589542C82FD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3640172021027399"/>
                  <c:y val="0.640929665430512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superior'!$K$40:$K$74</c:f>
              <c:numCache>
                <c:formatCode>00,000,000</c:formatCode>
                <c:ptCount val="35"/>
                <c:pt idx="0">
                  <c:v>-132</c:v>
                </c:pt>
                <c:pt idx="1">
                  <c:v>-125</c:v>
                </c:pt>
                <c:pt idx="2">
                  <c:v>-118</c:v>
                </c:pt>
                <c:pt idx="3">
                  <c:v>-111</c:v>
                </c:pt>
                <c:pt idx="4">
                  <c:v>-105</c:v>
                </c:pt>
                <c:pt idx="5" formatCode="General">
                  <c:v>-98.157610489999996</c:v>
                </c:pt>
                <c:pt idx="6" formatCode="General">
                  <c:v>-91.946126759999999</c:v>
                </c:pt>
                <c:pt idx="7" formatCode="General">
                  <c:v>-86.009145119999999</c:v>
                </c:pt>
                <c:pt idx="8" formatCode="General">
                  <c:v>-80.384439909999998</c:v>
                </c:pt>
                <c:pt idx="9" formatCode="General">
                  <c:v>-75.106411199999997</c:v>
                </c:pt>
                <c:pt idx="10" formatCode="General">
                  <c:v>-70.205805150000003</c:v>
                </c:pt>
                <c:pt idx="11" formatCode="General">
                  <c:v>-65.709513950000002</c:v>
                </c:pt>
                <c:pt idx="12" formatCode="General">
                  <c:v>-61.640472799999998</c:v>
                </c:pt>
                <c:pt idx="13" formatCode="General">
                  <c:v>-58.017670799999998</c:v>
                </c:pt>
                <c:pt idx="14" formatCode="General">
                  <c:v>-54.856287160000001</c:v>
                </c:pt>
                <c:pt idx="15" formatCode="General">
                  <c:v>-52.167952419999999</c:v>
                </c:pt>
                <c:pt idx="16" formatCode="General">
                  <c:v>-49.961118140000004</c:v>
                </c:pt>
                <c:pt idx="17" formatCode="General">
                  <c:v>-48.24149603</c:v>
                </c:pt>
                <c:pt idx="18" formatCode="General">
                  <c:v>-47.012498950000001</c:v>
                </c:pt>
                <c:pt idx="19" formatCode="General">
                  <c:v>-46.275590190000003</c:v>
                </c:pt>
                <c:pt idx="20" formatCode="General">
                  <c:v>-46.03039613</c:v>
                </c:pt>
                <c:pt idx="21" formatCode="General">
                  <c:v>-39.821528809999997</c:v>
                </c:pt>
                <c:pt idx="22" formatCode="General">
                  <c:v>-33.850799960000003</c:v>
                </c:pt>
                <c:pt idx="23" formatCode="General">
                  <c:v>-28.207621140000001</c:v>
                </c:pt>
                <c:pt idx="24" formatCode="General">
                  <c:v>-22.97126467</c:v>
                </c:pt>
                <c:pt idx="25" formatCode="General">
                  <c:v>-18.210974920000002</c:v>
                </c:pt>
                <c:pt idx="26" formatCode="General">
                  <c:v>-13.98360375</c:v>
                </c:pt>
                <c:pt idx="27" formatCode="General">
                  <c:v>-10.330539590000001</c:v>
                </c:pt>
                <c:pt idx="28" formatCode="General">
                  <c:v>-7.2746903190000003</c:v>
                </c:pt>
                <c:pt idx="29" formatCode="General">
                  <c:v>-4.8180927369999997</c:v>
                </c:pt>
                <c:pt idx="30" formatCode="General">
                  <c:v>-2.9404627429999999</c:v>
                </c:pt>
                <c:pt idx="31" formatCode="General">
                  <c:v>-1.598781663</c:v>
                </c:pt>
                <c:pt idx="32" formatCode="General">
                  <c:v>-0.72791950520000004</c:v>
                </c:pt>
                <c:pt idx="33" formatCode="General">
                  <c:v>-0.2422964235</c:v>
                </c:pt>
                <c:pt idx="34" formatCode="General">
                  <c:v>-3.8597108909999997E-2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5E-4ABD-8337-B589542C8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440927"/>
        <c:axId val="1900437599"/>
      </c:scatterChart>
      <c:valAx>
        <c:axId val="1900440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437599"/>
        <c:crosses val="autoZero"/>
        <c:crossBetween val="midCat"/>
      </c:valAx>
      <c:valAx>
        <c:axId val="1900437599"/>
        <c:scaling>
          <c:orientation val="minMax"/>
          <c:max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44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Fletor</a:t>
            </a:r>
            <a:r>
              <a:rPr lang="pt-BR" baseline="0"/>
              <a:t> da asa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CRUZEIRO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6.272743428766242E-2"/>
                  <c:y val="9.16615510992068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superior'!$L$40:$L$74</c:f>
              <c:numCache>
                <c:formatCode>General</c:formatCode>
                <c:ptCount val="35"/>
                <c:pt idx="0">
                  <c:v>-18.66335934</c:v>
                </c:pt>
                <c:pt idx="1">
                  <c:v>-16.92706145</c:v>
                </c:pt>
                <c:pt idx="2">
                  <c:v>-15.287134590000001</c:v>
                </c:pt>
                <c:pt idx="3">
                  <c:v>-13.751546340000001</c:v>
                </c:pt>
                <c:pt idx="4">
                  <c:v>-12.326061620000001</c:v>
                </c:pt>
                <c:pt idx="5">
                  <c:v>-11.01430002</c:v>
                </c:pt>
                <c:pt idx="6">
                  <c:v>-9.8178441979999995</c:v>
                </c:pt>
                <c:pt idx="7">
                  <c:v>-8.7363949630000004</c:v>
                </c:pt>
                <c:pt idx="8">
                  <c:v>-7.767967295</c:v>
                </c:pt>
                <c:pt idx="9">
                  <c:v>-6.9091208740000001</c:v>
                </c:pt>
                <c:pt idx="10">
                  <c:v>-6.1552176540000003</c:v>
                </c:pt>
                <c:pt idx="11">
                  <c:v>-5.5006985449999997</c:v>
                </c:pt>
                <c:pt idx="12">
                  <c:v>-4.9393707899999999</c:v>
                </c:pt>
                <c:pt idx="13">
                  <c:v>-4.4646974110000004</c:v>
                </c:pt>
                <c:pt idx="14">
                  <c:v>-4.0700802129999998</c:v>
                </c:pt>
                <c:pt idx="15">
                  <c:v>-3.749128201</c:v>
                </c:pt>
                <c:pt idx="16">
                  <c:v>-3.495904098</c:v>
                </c:pt>
                <c:pt idx="17">
                  <c:v>-3.3051426679999998</c:v>
                </c:pt>
                <c:pt idx="18">
                  <c:v>-3.17243589</c:v>
                </c:pt>
                <c:pt idx="19">
                  <c:v>-3.0943812319999999</c:v>
                </c:pt>
                <c:pt idx="20">
                  <c:v>-3.0686901789999999</c:v>
                </c:pt>
                <c:pt idx="21">
                  <c:v>-2.4147543480000002</c:v>
                </c:pt>
                <c:pt idx="22">
                  <c:v>-1.8495321229999999</c:v>
                </c:pt>
                <c:pt idx="23">
                  <c:v>-1.3739821830000001</c:v>
                </c:pt>
                <c:pt idx="24" formatCode="0.000000000">
                  <c:v>-0.98555305250000003</c:v>
                </c:pt>
                <c:pt idx="25">
                  <c:v>-0.67865865540000003</c:v>
                </c:pt>
                <c:pt idx="26">
                  <c:v>-0.44525255790000001</c:v>
                </c:pt>
                <c:pt idx="27">
                  <c:v>-0.27549806650000003</c:v>
                </c:pt>
                <c:pt idx="28">
                  <c:v>-0.15850164010000001</c:v>
                </c:pt>
                <c:pt idx="29">
                  <c:v>-8.3067928459999996E-2</c:v>
                </c:pt>
                <c:pt idx="30">
                  <c:v>-3.8429329919999998E-2</c:v>
                </c:pt>
                <c:pt idx="31">
                  <c:v>-1.489946556E-2</c:v>
                </c:pt>
                <c:pt idx="32">
                  <c:v>-4.3983322689999998E-3</c:v>
                </c:pt>
                <c:pt idx="33">
                  <c:v>-7.979638707E-4</c:v>
                </c:pt>
                <c:pt idx="34" formatCode="0.000000000">
                  <c:v>-4.218991354E-5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1-442C-B657-B9464E1FF767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7427845621459408"/>
                  <c:y val="0.59281982142486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superior'!$D$40:$D$74</c:f>
              <c:numCache>
                <c:formatCode>0.000000000</c:formatCode>
                <c:ptCount val="35"/>
                <c:pt idx="0">
                  <c:v>2.2360842280000001E-2</c:v>
                </c:pt>
                <c:pt idx="1">
                  <c:v>6.6944664819999999E-2</c:v>
                </c:pt>
                <c:pt idx="2">
                  <c:v>0.1111157512</c:v>
                </c:pt>
                <c:pt idx="3">
                  <c:v>0.15460177210000001</c:v>
                </c:pt>
                <c:pt idx="4">
                  <c:v>0.1971346216</c:v>
                </c:pt>
                <c:pt idx="5">
                  <c:v>0.23845207060000001</c:v>
                </c:pt>
                <c:pt idx="6">
                  <c:v>0.27829938339999999</c:v>
                </c:pt>
                <c:pt idx="7">
                  <c:v>0.3164308878</c:v>
                </c:pt>
                <c:pt idx="8">
                  <c:v>0.35261149069999997</c:v>
                </c:pt>
                <c:pt idx="9">
                  <c:v>0.38661812639999998</c:v>
                </c:pt>
                <c:pt idx="10">
                  <c:v>0.41824113280000003</c:v>
                </c:pt>
                <c:pt idx="11">
                  <c:v>0.4472855436</c:v>
                </c:pt>
                <c:pt idx="12">
                  <c:v>0.47357229020000002</c:v>
                </c:pt>
                <c:pt idx="13">
                  <c:v>0.49693930619999999</c:v>
                </c:pt>
                <c:pt idx="14">
                  <c:v>0.5172425262</c:v>
                </c:pt>
                <c:pt idx="15">
                  <c:v>0.53435677390000003</c:v>
                </c:pt>
                <c:pt idx="16">
                  <c:v>0.54817653450000003</c:v>
                </c:pt>
                <c:pt idx="17">
                  <c:v>0.55861660440000005</c:v>
                </c:pt>
                <c:pt idx="18">
                  <c:v>0.5656126172</c:v>
                </c:pt>
                <c:pt idx="19">
                  <c:v>0.56912144009999999</c:v>
                </c:pt>
                <c:pt idx="20">
                  <c:v>0.5924736196</c:v>
                </c:pt>
                <c:pt idx="21">
                  <c:v>0.6371746331</c:v>
                </c:pt>
                <c:pt idx="22">
                  <c:v>0.68113966729999997</c:v>
                </c:pt>
                <c:pt idx="23">
                  <c:v>0.72388703210000005</c:v>
                </c:pt>
                <c:pt idx="24">
                  <c:v>0.76494837829999995</c:v>
                </c:pt>
                <c:pt idx="25" formatCode="General">
                  <c:v>0.80387382919999995</c:v>
                </c:pt>
                <c:pt idx="26" formatCode="General">
                  <c:v>0.84023690959999997</c:v>
                </c:pt>
                <c:pt idx="27" formatCode="General">
                  <c:v>0.87363921779999998</c:v>
                </c:pt>
                <c:pt idx="28" formatCode="General">
                  <c:v>0.90371479129999999</c:v>
                </c:pt>
                <c:pt idx="29" formatCode="General">
                  <c:v>0.93013411560000003</c:v>
                </c:pt>
                <c:pt idx="30" formatCode="General">
                  <c:v>0.95260773519999997</c:v>
                </c:pt>
                <c:pt idx="31" formatCode="General">
                  <c:v>0.97088942440000003</c:v>
                </c:pt>
                <c:pt idx="32" formatCode="General">
                  <c:v>0.98477888520000001</c:v>
                </c:pt>
                <c:pt idx="33" formatCode="General">
                  <c:v>0.99412394169999996</c:v>
                </c:pt>
                <c:pt idx="34" formatCode="General">
                  <c:v>0.99882220749999995</c:v>
                </c:pt>
              </c:numCache>
            </c:numRef>
          </c:xVal>
          <c:yVal>
            <c:numRef>
              <c:f>'COMP. ASA CRUZ E ESTOL superior'!$M$40:$M$74</c:f>
              <c:numCache>
                <c:formatCode>General</c:formatCode>
                <c:ptCount val="35"/>
                <c:pt idx="0">
                  <c:v>-61.176327890000003</c:v>
                </c:pt>
                <c:pt idx="1">
                  <c:v>-55.28100817</c:v>
                </c:pt>
                <c:pt idx="2">
                  <c:v>-49.729890300000001</c:v>
                </c:pt>
                <c:pt idx="3">
                  <c:v>-44.549330830000002</c:v>
                </c:pt>
                <c:pt idx="4">
                  <c:v>-39.757651070000001</c:v>
                </c:pt>
                <c:pt idx="5">
                  <c:v>-35.365393410000003</c:v>
                </c:pt>
                <c:pt idx="6">
                  <c:v>-31.375774539999998</c:v>
                </c:pt>
                <c:pt idx="7">
                  <c:v>-27.78531534</c:v>
                </c:pt>
                <c:pt idx="8">
                  <c:v>-24.584621599999998</c:v>
                </c:pt>
                <c:pt idx="9">
                  <c:v>-21.75928588</c:v>
                </c:pt>
                <c:pt idx="10">
                  <c:v>-19.290877800000001</c:v>
                </c:pt>
                <c:pt idx="11">
                  <c:v>-17.157987869999999</c:v>
                </c:pt>
                <c:pt idx="12">
                  <c:v>-15.33728984</c:v>
                </c:pt>
                <c:pt idx="13">
                  <c:v>-13.80458673</c:v>
                </c:pt>
                <c:pt idx="14">
                  <c:v>-12.535808429999999</c:v>
                </c:pt>
                <c:pt idx="15">
                  <c:v>-11.507932459999999</c:v>
                </c:pt>
                <c:pt idx="16">
                  <c:v>-10.699804930000001</c:v>
                </c:pt>
                <c:pt idx="17">
                  <c:v>-10.09284527</c:v>
                </c:pt>
                <c:pt idx="18">
                  <c:v>-9.6716246740000003</c:v>
                </c:pt>
                <c:pt idx="19">
                  <c:v>-9.4243141969999993</c:v>
                </c:pt>
                <c:pt idx="20">
                  <c:v>-9.3430024419999995</c:v>
                </c:pt>
                <c:pt idx="21">
                  <c:v>-7.2740632170000001</c:v>
                </c:pt>
                <c:pt idx="22">
                  <c:v>-5.5038056019999999</c:v>
                </c:pt>
                <c:pt idx="23">
                  <c:v>-4.0321325769999996</c:v>
                </c:pt>
                <c:pt idx="24" formatCode="0,000,000,000">
                  <c:v>-2.846863881</c:v>
                </c:pt>
                <c:pt idx="25">
                  <c:v>-1.925641661</c:v>
                </c:pt>
                <c:pt idx="26">
                  <c:v>-1.238219999</c:v>
                </c:pt>
                <c:pt idx="27">
                  <c:v>-0.7490944839</c:v>
                </c:pt>
                <c:pt idx="28">
                  <c:v>-0.4203135509</c:v>
                </c:pt>
                <c:pt idx="29">
                  <c:v>-0.21425771020000001</c:v>
                </c:pt>
                <c:pt idx="30">
                  <c:v>-9.6148834830000002E-2</c:v>
                </c:pt>
                <c:pt idx="31">
                  <c:v>-3.6064527229999997E-2</c:v>
                </c:pt>
                <c:pt idx="32">
                  <c:v>-1.027657035E-2</c:v>
                </c:pt>
                <c:pt idx="33">
                  <c:v>-1.796914972E-3</c:v>
                </c:pt>
                <c:pt idx="34" formatCode="0,000,000,000">
                  <c:v>-9.0918770470000001E-5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F1-442C-B657-B9464E1FF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806975"/>
        <c:axId val="1997809471"/>
      </c:scatterChart>
      <c:valAx>
        <c:axId val="199780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</a:t>
                </a:r>
                <a:r>
                  <a:rPr lang="pt-BR" baseline="0"/>
                  <a:t> [m]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09471"/>
        <c:crosses val="autoZero"/>
        <c:crossBetween val="midCat"/>
      </c:valAx>
      <c:valAx>
        <c:axId val="1997809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0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SUSTENTAÇÃO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CRUZEIRO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3083176578021089"/>
                  <c:y val="-1.72247130614314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inferior'!$F$35:$F$64</c:f>
              <c:numCache>
                <c:formatCode>_(* #,##0.00_);_(* \(#,##0.00\);_(* "-"??_);_(@_)</c:formatCode>
                <c:ptCount val="30"/>
                <c:pt idx="0">
                  <c:v>67.50375258048328</c:v>
                </c:pt>
                <c:pt idx="1">
                  <c:v>67.389865017954619</c:v>
                </c:pt>
                <c:pt idx="2">
                  <c:v>67.169292344971069</c:v>
                </c:pt>
                <c:pt idx="3">
                  <c:v>66.85628670670873</c:v>
                </c:pt>
                <c:pt idx="4">
                  <c:v>66.471560351696382</c:v>
                </c:pt>
                <c:pt idx="5">
                  <c:v>66.040655237331322</c:v>
                </c:pt>
                <c:pt idx="6">
                  <c:v>65.590307199303453</c:v>
                </c:pt>
                <c:pt idx="7">
                  <c:v>65.141434583833487</c:v>
                </c:pt>
                <c:pt idx="8">
                  <c:v>64.696121875062062</c:v>
                </c:pt>
                <c:pt idx="9">
                  <c:v>64.233451605441758</c:v>
                </c:pt>
                <c:pt idx="10">
                  <c:v>64.779549068718097</c:v>
                </c:pt>
                <c:pt idx="11">
                  <c:v>65.373666578258721</c:v>
                </c:pt>
                <c:pt idx="12">
                  <c:v>65.876330908279442</c:v>
                </c:pt>
                <c:pt idx="13">
                  <c:v>66.297739267936592</c:v>
                </c:pt>
                <c:pt idx="14">
                  <c:v>66.612942847666829</c:v>
                </c:pt>
                <c:pt idx="15">
                  <c:v>66.786422583141331</c:v>
                </c:pt>
                <c:pt idx="16">
                  <c:v>66.774353940987524</c:v>
                </c:pt>
                <c:pt idx="17">
                  <c:v>66.523926673825301</c:v>
                </c:pt>
                <c:pt idx="18">
                  <c:v>65.97212876903474</c:v>
                </c:pt>
                <c:pt idx="19">
                  <c:v>65.04457822555274</c:v>
                </c:pt>
                <c:pt idx="20">
                  <c:v>63.654700680799493</c:v>
                </c:pt>
                <c:pt idx="21">
                  <c:v>61.703544032318625</c:v>
                </c:pt>
                <c:pt idx="22">
                  <c:v>59.080621953247885</c:v>
                </c:pt>
                <c:pt idx="23">
                  <c:v>55.666386359514199</c:v>
                </c:pt>
                <c:pt idx="24">
                  <c:v>51.337258172158741</c:v>
                </c:pt>
                <c:pt idx="25">
                  <c:v>45.974597074204411</c:v>
                </c:pt>
                <c:pt idx="26">
                  <c:v>39.479914870126535</c:v>
                </c:pt>
                <c:pt idx="27">
                  <c:v>31.802207647787398</c:v>
                </c:pt>
                <c:pt idx="28">
                  <c:v>22.993114285496613</c:v>
                </c:pt>
                <c:pt idx="29">
                  <c:v>13.677525610365489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7F-4E28-BD6F-6C93C96CFEB3}"/>
            </c:ext>
          </c:extLst>
        </c:ser>
        <c:ser>
          <c:idx val="3"/>
          <c:order val="1"/>
          <c:tx>
            <c:v>ESTOL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1475960441776457"/>
                  <c:y val="-0.167693374299833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inferior'!$G$35:$G$64</c:f>
              <c:numCache>
                <c:formatCode>_(* #,##0.00_);_(* \(#,##0.00\);_(* "-"??_);_(@_)</c:formatCode>
                <c:ptCount val="30"/>
                <c:pt idx="0">
                  <c:v>222.42728806658045</c:v>
                </c:pt>
                <c:pt idx="1">
                  <c:v>221.93059881227927</c:v>
                </c:pt>
                <c:pt idx="2">
                  <c:v>220.96118595381006</c:v>
                </c:pt>
                <c:pt idx="3">
                  <c:v>219.56850838115301</c:v>
                </c:pt>
                <c:pt idx="4">
                  <c:v>217.82883916291914</c:v>
                </c:pt>
                <c:pt idx="5">
                  <c:v>215.84300041349809</c:v>
                </c:pt>
                <c:pt idx="6">
                  <c:v>213.72607836844668</c:v>
                </c:pt>
                <c:pt idx="7">
                  <c:v>211.58717864436713</c:v>
                </c:pt>
                <c:pt idx="8">
                  <c:v>209.55183989173602</c:v>
                </c:pt>
                <c:pt idx="9">
                  <c:v>207.98439746431572</c:v>
                </c:pt>
                <c:pt idx="10">
                  <c:v>210.98973268801808</c:v>
                </c:pt>
                <c:pt idx="11">
                  <c:v>215.2750599793961</c:v>
                </c:pt>
                <c:pt idx="12">
                  <c:v>218.71499979218697</c:v>
                </c:pt>
                <c:pt idx="13">
                  <c:v>221.54665722095595</c:v>
                </c:pt>
                <c:pt idx="14">
                  <c:v>223.74417171874242</c:v>
                </c:pt>
                <c:pt idx="15">
                  <c:v>225.19479106648495</c:v>
                </c:pt>
                <c:pt idx="16">
                  <c:v>225.72929917674492</c:v>
                </c:pt>
                <c:pt idx="17">
                  <c:v>225.12757017646166</c:v>
                </c:pt>
                <c:pt idx="18">
                  <c:v>223.12003036736851</c:v>
                </c:pt>
                <c:pt idx="19">
                  <c:v>219.39202848638263</c:v>
                </c:pt>
                <c:pt idx="20">
                  <c:v>213.59544080965304</c:v>
                </c:pt>
                <c:pt idx="21">
                  <c:v>205.370550116446</c:v>
                </c:pt>
                <c:pt idx="22">
                  <c:v>194.37901752311791</c:v>
                </c:pt>
                <c:pt idx="23">
                  <c:v>180.34513315473919</c:v>
                </c:pt>
                <c:pt idx="24">
                  <c:v>163.09905131652127</c:v>
                </c:pt>
                <c:pt idx="25">
                  <c:v>142.61554649276226</c:v>
                </c:pt>
                <c:pt idx="26">
                  <c:v>119.04685630874351</c:v>
                </c:pt>
                <c:pt idx="27">
                  <c:v>92.76723870402617</c:v>
                </c:pt>
                <c:pt idx="28">
                  <c:v>64.186544404270492</c:v>
                </c:pt>
                <c:pt idx="29">
                  <c:v>36.121644709234154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7F-4E28-BD6F-6C93C96CF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705567"/>
        <c:axId val="1987708895"/>
      </c:scatterChart>
      <c:valAx>
        <c:axId val="198770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708895"/>
        <c:crosses val="autoZero"/>
        <c:crossBetween val="midCat"/>
      </c:valAx>
      <c:valAx>
        <c:axId val="1987708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770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 TORSOR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CRUZEIRO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5197646939661238"/>
                  <c:y val="-0.462257310233754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inferior'!$H$35:$H$64</c:f>
              <c:numCache>
                <c:formatCode>0.0000000000</c:formatCode>
                <c:ptCount val="30"/>
                <c:pt idx="0">
                  <c:v>1.735370772E-2</c:v>
                </c:pt>
                <c:pt idx="1">
                  <c:v>1.735370772E-2</c:v>
                </c:pt>
                <c:pt idx="2">
                  <c:v>1.735370772E-2</c:v>
                </c:pt>
                <c:pt idx="3">
                  <c:v>1.735370772E-2</c:v>
                </c:pt>
                <c:pt idx="4">
                  <c:v>1.735370772E-2</c:v>
                </c:pt>
                <c:pt idx="5">
                  <c:v>1.735370772E-2</c:v>
                </c:pt>
                <c:pt idx="6">
                  <c:v>1.735370772E-2</c:v>
                </c:pt>
                <c:pt idx="7">
                  <c:v>1.735370772E-2</c:v>
                </c:pt>
                <c:pt idx="8">
                  <c:v>1.735370772E-2</c:v>
                </c:pt>
                <c:pt idx="9">
                  <c:v>1.735370772E-2</c:v>
                </c:pt>
                <c:pt idx="10">
                  <c:v>1.735370772E-2</c:v>
                </c:pt>
                <c:pt idx="11">
                  <c:v>1.5130466990000001E-2</c:v>
                </c:pt>
                <c:pt idx="12">
                  <c:v>1.307760964E-2</c:v>
                </c:pt>
                <c:pt idx="13">
                  <c:v>1.1206140870000001E-2</c:v>
                </c:pt>
                <c:pt idx="14">
                  <c:v>9.5162935229999995E-3</c:v>
                </c:pt>
                <c:pt idx="15">
                  <c:v>8.0039743670000003E-3</c:v>
                </c:pt>
                <c:pt idx="16">
                  <c:v>6.6621506099999997E-3</c:v>
                </c:pt>
                <c:pt idx="17">
                  <c:v>5.4816973109999998E-3</c:v>
                </c:pt>
                <c:pt idx="18">
                  <c:v>4.4520672609999999E-3</c:v>
                </c:pt>
                <c:pt idx="19">
                  <c:v>3.5618707240000001E-3</c:v>
                </c:pt>
                <c:pt idx="20">
                  <c:v>2.7993857630000001E-3</c:v>
                </c:pt>
                <c:pt idx="21">
                  <c:v>2.1530009450000001E-3</c:v>
                </c:pt>
                <c:pt idx="22">
                  <c:v>1.6115869169999999E-3</c:v>
                </c:pt>
                <c:pt idx="23">
                  <c:v>1.164792214E-3</c:v>
                </c:pt>
                <c:pt idx="24">
                  <c:v>8.0325678690000004E-4</c:v>
                </c:pt>
                <c:pt idx="25">
                  <c:v>5.187259983E-4</c:v>
                </c:pt>
                <c:pt idx="26">
                  <c:v>3.0401119280000001E-4</c:v>
                </c:pt>
                <c:pt idx="27">
                  <c:v>1.5265341239999999E-4</c:v>
                </c:pt>
                <c:pt idx="28">
                  <c:v>5.8023096220000002E-5</c:v>
                </c:pt>
                <c:pt idx="29">
                  <c:v>1.1564155729999999E-5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6F-4E02-ABBD-C2FEF065A529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3835559607073435"/>
                  <c:y val="-0.11544896240332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inferior'!$I$35:$I$64</c:f>
              <c:numCache>
                <c:formatCode>General</c:formatCode>
                <c:ptCount val="30"/>
                <c:pt idx="0">
                  <c:v>-2.6079734029999999E-2</c:v>
                </c:pt>
                <c:pt idx="1">
                  <c:v>-2.6079734029999999E-2</c:v>
                </c:pt>
                <c:pt idx="2">
                  <c:v>-2.6079734029999999E-2</c:v>
                </c:pt>
                <c:pt idx="3">
                  <c:v>-2.6079734029999999E-2</c:v>
                </c:pt>
                <c:pt idx="4">
                  <c:v>-2.6079734029999999E-2</c:v>
                </c:pt>
                <c:pt idx="5">
                  <c:v>-2.6079734029999999E-2</c:v>
                </c:pt>
                <c:pt idx="6">
                  <c:v>-2.6079734029999999E-2</c:v>
                </c:pt>
                <c:pt idx="7">
                  <c:v>-2.6079734029999999E-2</c:v>
                </c:pt>
                <c:pt idx="8" formatCode="0.000000000">
                  <c:v>-2.6079734029999999E-2</c:v>
                </c:pt>
                <c:pt idx="9">
                  <c:v>-2.6079734029999999E-2</c:v>
                </c:pt>
                <c:pt idx="10">
                  <c:v>-2.6079734029999999E-2</c:v>
                </c:pt>
                <c:pt idx="11">
                  <c:v>-2.2710353079999999E-2</c:v>
                </c:pt>
                <c:pt idx="12">
                  <c:v>-1.945801493E-2</c:v>
                </c:pt>
                <c:pt idx="13">
                  <c:v>-1.6400690360000001E-2</c:v>
                </c:pt>
                <c:pt idx="14">
                  <c:v>-1.3581959919999999E-2</c:v>
                </c:pt>
                <c:pt idx="15">
                  <c:v>-1.1029158089999999E-2</c:v>
                </c:pt>
                <c:pt idx="16">
                  <c:v>-8.7585567150000009E-3</c:v>
                </c:pt>
                <c:pt idx="17">
                  <c:v>-6.7774011009999998E-3</c:v>
                </c:pt>
                <c:pt idx="18">
                  <c:v>-5.0851267889999996E-3</c:v>
                </c:pt>
                <c:pt idx="19">
                  <c:v>-3.6742900340000001E-3</c:v>
                </c:pt>
                <c:pt idx="20">
                  <c:v>-2.5313617910000001E-3</c:v>
                </c:pt>
                <c:pt idx="21">
                  <c:v>-1.637440429E-3</c:v>
                </c:pt>
                <c:pt idx="22">
                  <c:v>-9.6892257849999996E-4</c:v>
                </c:pt>
                <c:pt idx="23">
                  <c:v>-4.9817635090000005E-4</c:v>
                </c:pt>
                <c:pt idx="24">
                  <c:v>-1.942668347E-4</c:v>
                </c:pt>
                <c:pt idx="25" formatCode="0.000000000">
                  <c:v>-2.3793317739999998E-5</c:v>
                </c:pt>
                <c:pt idx="26" formatCode="0.000000000">
                  <c:v>4.8064146410000002E-5</c:v>
                </c:pt>
                <c:pt idx="27" formatCode="0.000000000">
                  <c:v>5.609405956E-5</c:v>
                </c:pt>
                <c:pt idx="28" formatCode="0.000000000">
                  <c:v>3.3065041400000001E-5</c:v>
                </c:pt>
                <c:pt idx="29" formatCode="0.000000000">
                  <c:v>6.2748603459999998E-6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6F-4E02-ABBD-C2FEF065A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28975"/>
        <c:axId val="26432719"/>
      </c:scatterChart>
      <c:valAx>
        <c:axId val="2642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432719"/>
        <c:crosses val="autoZero"/>
        <c:crossBetween val="midCat"/>
      </c:valAx>
      <c:valAx>
        <c:axId val="264327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Momento Torsor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42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CORTANTE DA ASA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"Cruzeiro"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206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4756126583223919"/>
                  <c:y val="0.30749619434465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inferior'!$J$35:$J$64</c:f>
              <c:numCache>
                <c:formatCode>General</c:formatCode>
                <c:ptCount val="30"/>
                <c:pt idx="0">
                  <c:v>-19.423398389999999</c:v>
                </c:pt>
                <c:pt idx="1">
                  <c:v>-17.88690695</c:v>
                </c:pt>
                <c:pt idx="2">
                  <c:v>-16.390011919999999</c:v>
                </c:pt>
                <c:pt idx="3">
                  <c:v>-14.97103194</c:v>
                </c:pt>
                <c:pt idx="4">
                  <c:v>-13.66579919</c:v>
                </c:pt>
                <c:pt idx="5">
                  <c:v>-12.50658842</c:v>
                </c:pt>
                <c:pt idx="6">
                  <c:v>-11.52125111</c:v>
                </c:pt>
                <c:pt idx="7">
                  <c:v>-10.73261007</c:v>
                </c:pt>
                <c:pt idx="8">
                  <c:v>-10.15812496</c:v>
                </c:pt>
                <c:pt idx="9">
                  <c:v>-9.8097331370000003</c:v>
                </c:pt>
                <c:pt idx="10">
                  <c:v>-9.6934644379999995</c:v>
                </c:pt>
                <c:pt idx="11">
                  <c:v>-8.6817002680000002</c:v>
                </c:pt>
                <c:pt idx="12">
                  <c:v>-7.7089002830000002</c:v>
                </c:pt>
                <c:pt idx="13">
                  <c:v>-6.7818548060000001</c:v>
                </c:pt>
                <c:pt idx="14">
                  <c:v>-5.9059300500000003</c:v>
                </c:pt>
                <c:pt idx="15">
                  <c:v>-5.0855733689999996</c:v>
                </c:pt>
                <c:pt idx="16">
                  <c:v>-4.3243706509999997</c:v>
                </c:pt>
                <c:pt idx="17">
                  <c:v>-3.6250635259999999</c:v>
                </c:pt>
                <c:pt idx="18">
                  <c:v>-2.989571556</c:v>
                </c:pt>
                <c:pt idx="19">
                  <c:v>-2.4190241590000001</c:v>
                </c:pt>
                <c:pt idx="20">
                  <c:v>-1.9137989470000001</c:v>
                </c:pt>
                <c:pt idx="21">
                  <c:v>-1.4735598750000001</c:v>
                </c:pt>
                <c:pt idx="22">
                  <c:v>-1.097285632</c:v>
                </c:pt>
                <c:pt idx="23">
                  <c:v>-0.78327525090000005</c:v>
                </c:pt>
                <c:pt idx="24">
                  <c:v>-0.52911512360000001</c:v>
                </c:pt>
                <c:pt idx="25">
                  <c:v>-0.3315918799</c:v>
                </c:pt>
                <c:pt idx="26">
                  <c:v>-0.1865409837</c:v>
                </c:pt>
                <c:pt idx="27">
                  <c:v>-8.8627374800000006E-2</c:v>
                </c:pt>
                <c:pt idx="28">
                  <c:v>-3.1057613899999999E-2</c:v>
                </c:pt>
                <c:pt idx="29">
                  <c:v>-5.242914649E-3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47-4E7A-95FE-79E2A3D455C2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53640172021027399"/>
                  <c:y val="0.640929665430512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inferior'!$K$35:$K$64</c:f>
              <c:numCache>
                <c:formatCode>General</c:formatCode>
                <c:ptCount val="30"/>
                <c:pt idx="0">
                  <c:v>-56.112446409999997</c:v>
                </c:pt>
                <c:pt idx="1">
                  <c:v>-51.680879869999998</c:v>
                </c:pt>
                <c:pt idx="2">
                  <c:v>-47.36583692</c:v>
                </c:pt>
                <c:pt idx="3">
                  <c:v>-43.27973385</c:v>
                </c:pt>
                <c:pt idx="4">
                  <c:v>-39.5269823</c:v>
                </c:pt>
                <c:pt idx="5">
                  <c:v>-36.200551310000002</c:v>
                </c:pt>
                <c:pt idx="6">
                  <c:v>-33.37928144</c:v>
                </c:pt>
                <c:pt idx="7">
                  <c:v>-31.126221260000001</c:v>
                </c:pt>
                <c:pt idx="8">
                  <c:v>-29.488095040000001</c:v>
                </c:pt>
                <c:pt idx="9">
                  <c:v>-28.4956739</c:v>
                </c:pt>
                <c:pt idx="10">
                  <c:v>-28.164249649999999</c:v>
                </c:pt>
                <c:pt idx="11">
                  <c:v>-25.263609899999999</c:v>
                </c:pt>
                <c:pt idx="12">
                  <c:v>-22.448919360000001</c:v>
                </c:pt>
                <c:pt idx="13">
                  <c:v>-19.745576920000001</c:v>
                </c:pt>
                <c:pt idx="14">
                  <c:v>-17.1745324</c:v>
                </c:pt>
                <c:pt idx="15">
                  <c:v>-14.753781099999999</c:v>
                </c:pt>
                <c:pt idx="16">
                  <c:v>-12.49862282</c:v>
                </c:pt>
                <c:pt idx="17">
                  <c:v>-10.421717109999999</c:v>
                </c:pt>
                <c:pt idx="18">
                  <c:v>-8.5330868950000003</c:v>
                </c:pt>
                <c:pt idx="19">
                  <c:v>-6.8400860269999999</c:v>
                </c:pt>
                <c:pt idx="20">
                  <c:v>-5.3473120840000004</c:v>
                </c:pt>
                <c:pt idx="21">
                  <c:v>-4.0564400919999999</c:v>
                </c:pt>
                <c:pt idx="22">
                  <c:v>-2.965965513</c:v>
                </c:pt>
                <c:pt idx="23">
                  <c:v>-2.0708724009999999</c:v>
                </c:pt>
                <c:pt idx="24">
                  <c:v>-1.3622792459999999</c:v>
                </c:pt>
                <c:pt idx="25">
                  <c:v>-0.82714257739999997</c:v>
                </c:pt>
                <c:pt idx="26">
                  <c:v>-0.44809483100000003</c:v>
                </c:pt>
                <c:pt idx="27">
                  <c:v>-0.20345730670000001</c:v>
                </c:pt>
                <c:pt idx="28">
                  <c:v>-6.7419095750000005E-2</c:v>
                </c:pt>
                <c:pt idx="29">
                  <c:v>-1.0646895910000001E-2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47-4E7A-95FE-79E2A3D45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440927"/>
        <c:axId val="1900437599"/>
      </c:scatterChart>
      <c:valAx>
        <c:axId val="1900440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437599"/>
        <c:crosses val="autoZero"/>
        <c:crossBetween val="midCat"/>
      </c:valAx>
      <c:valAx>
        <c:axId val="1900437599"/>
        <c:scaling>
          <c:orientation val="minMax"/>
          <c:max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Esforço Cortante [N.m]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044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Fletor</a:t>
            </a:r>
            <a:r>
              <a:rPr lang="pt-BR" baseline="0"/>
              <a:t> da asa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CRUZEIRO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6.272743428766242E-2"/>
                  <c:y val="9.16615510992068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inferior'!$L$35:$L$64</c:f>
              <c:numCache>
                <c:formatCode>General</c:formatCode>
                <c:ptCount val="30"/>
                <c:pt idx="0">
                  <c:v>-7.1645657629999997</c:v>
                </c:pt>
                <c:pt idx="1">
                  <c:v>-6.1436334800000001</c:v>
                </c:pt>
                <c:pt idx="2">
                  <c:v>-5.2266123670000004</c:v>
                </c:pt>
                <c:pt idx="3">
                  <c:v>-4.4282368930000002</c:v>
                </c:pt>
                <c:pt idx="4">
                  <c:v>-3.7552136009999999</c:v>
                </c:pt>
                <c:pt idx="5">
                  <c:v>-3.2073239189999998</c:v>
                </c:pt>
                <c:pt idx="6">
                  <c:v>-2.7790754240000002</c:v>
                </c:pt>
                <c:pt idx="7">
                  <c:v>-2.4616824450000001</c:v>
                </c:pt>
                <c:pt idx="8">
                  <c:v>-2.245132747</c:v>
                </c:pt>
                <c:pt idx="9">
                  <c:v>-2.1201035689999999</c:v>
                </c:pt>
                <c:pt idx="10">
                  <c:v>-2.0795234730000001</c:v>
                </c:pt>
                <c:pt idx="11">
                  <c:v>-1.7266327029999999</c:v>
                </c:pt>
                <c:pt idx="12">
                  <c:v>-1.412523827</c:v>
                </c:pt>
                <c:pt idx="13">
                  <c:v>-1.1370612529999999</c:v>
                </c:pt>
                <c:pt idx="14">
                  <c:v>-0.89925390989999998</c:v>
                </c:pt>
                <c:pt idx="15">
                  <c:v>-0.69738197290000004</c:v>
                </c:pt>
                <c:pt idx="16">
                  <c:v>-0.52911825509999999</c:v>
                </c:pt>
                <c:pt idx="17">
                  <c:v>-0.39165627590000002</c:v>
                </c:pt>
                <c:pt idx="18">
                  <c:v>-0.28184214289999998</c:v>
                </c:pt>
                <c:pt idx="19">
                  <c:v>-0.19630590470000001</c:v>
                </c:pt>
                <c:pt idx="20">
                  <c:v>-0.131588174</c:v>
                </c:pt>
                <c:pt idx="21">
                  <c:v>-8.4258353760000002E-2</c:v>
                </c:pt>
                <c:pt idx="22">
                  <c:v>-5.1021448419999997E-2</c:v>
                </c:pt>
                <c:pt idx="23">
                  <c:v>-2.8811124399999999E-2</c:v>
                </c:pt>
                <c:pt idx="24">
                  <c:v>-1.486726547E-2</c:v>
                </c:pt>
                <c:pt idx="25">
                  <c:v>-6.7966323459999999E-3</c:v>
                </c:pt>
                <c:pt idx="26">
                  <c:v>-2.6152187920000002E-3</c:v>
                </c:pt>
                <c:pt idx="27">
                  <c:v>-7.7043674989999995E-4</c:v>
                </c:pt>
                <c:pt idx="28">
                  <c:v>-1.40495795E-4</c:v>
                </c:pt>
                <c:pt idx="29" formatCode="0.000000000">
                  <c:v>-7.4992404430000004E-6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25-4425-87E3-4360647E70DB}"/>
            </c:ext>
          </c:extLst>
        </c:ser>
        <c:ser>
          <c:idx val="1"/>
          <c:order val="1"/>
          <c:tx>
            <c:v>ESTOL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47427845621459408"/>
                  <c:y val="0.592819821424860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'COMP. ASA CRUZ E ESTOL inferior'!$D$35:$D$64</c:f>
              <c:numCache>
                <c:formatCode>0.000000000</c:formatCode>
                <c:ptCount val="30"/>
                <c:pt idx="0">
                  <c:v>2.6280990130000001E-2</c:v>
                </c:pt>
                <c:pt idx="1">
                  <c:v>7.8195845180000001E-2</c:v>
                </c:pt>
                <c:pt idx="2">
                  <c:v>0.128185259</c:v>
                </c:pt>
                <c:pt idx="3">
                  <c:v>0.1750183263</c:v>
                </c:pt>
                <c:pt idx="4">
                  <c:v>0.2175418616</c:v>
                </c:pt>
                <c:pt idx="5">
                  <c:v>0.25470879429999999</c:v>
                </c:pt>
                <c:pt idx="6">
                  <c:v>0.28560395109999998</c:v>
                </c:pt>
                <c:pt idx="7">
                  <c:v>0.3094665908</c:v>
                </c:pt>
                <c:pt idx="8">
                  <c:v>0.32570913600000001</c:v>
                </c:pt>
                <c:pt idx="9">
                  <c:v>0.33393164120000002</c:v>
                </c:pt>
                <c:pt idx="10">
                  <c:v>0.35420251019999999</c:v>
                </c:pt>
                <c:pt idx="11">
                  <c:v>0.39049530609999999</c:v>
                </c:pt>
                <c:pt idx="12">
                  <c:v>0.42645212030000001</c:v>
                </c:pt>
                <c:pt idx="13">
                  <c:v>0.46185126710000002</c:v>
                </c:pt>
                <c:pt idx="14">
                  <c:v>0.49647449900000001</c:v>
                </c:pt>
                <c:pt idx="15">
                  <c:v>0.53010835219999997</c:v>
                </c:pt>
                <c:pt idx="16">
                  <c:v>0.56254546299999997</c:v>
                </c:pt>
                <c:pt idx="17">
                  <c:v>0.59358584550000004</c:v>
                </c:pt>
                <c:pt idx="18">
                  <c:v>0.62303812569999995</c:v>
                </c:pt>
                <c:pt idx="19">
                  <c:v>0.65072072039999995</c:v>
                </c:pt>
                <c:pt idx="20">
                  <c:v>0.67646295729999995</c:v>
                </c:pt>
                <c:pt idx="21">
                  <c:v>0.70010612670000005</c:v>
                </c:pt>
                <c:pt idx="22">
                  <c:v>0.72150446079999997</c:v>
                </c:pt>
                <c:pt idx="23">
                  <c:v>0.74052603169999998</c:v>
                </c:pt>
                <c:pt idx="24">
                  <c:v>0.7570535652</c:v>
                </c:pt>
                <c:pt idx="25">
                  <c:v>0.7709851633</c:v>
                </c:pt>
                <c:pt idx="26">
                  <c:v>0.78223493330000005</c:v>
                </c:pt>
                <c:pt idx="27">
                  <c:v>0.79073351660000002</c:v>
                </c:pt>
                <c:pt idx="28">
                  <c:v>0.79642851640000001</c:v>
                </c:pt>
                <c:pt idx="29">
                  <c:v>0.79928482140000001</c:v>
                </c:pt>
              </c:numCache>
            </c:numRef>
          </c:xVal>
          <c:yVal>
            <c:numRef>
              <c:f>'COMP. ASA CRUZ E ESTOL inferior'!$M$35:$M$64</c:f>
              <c:numCache>
                <c:formatCode>General</c:formatCode>
                <c:ptCount val="30"/>
                <c:pt idx="0">
                  <c:v>-20.711820450000001</c:v>
                </c:pt>
                <c:pt idx="1">
                  <c:v>-17.762439149999999</c:v>
                </c:pt>
                <c:pt idx="2">
                  <c:v>-15.112877770000001</c:v>
                </c:pt>
                <c:pt idx="3">
                  <c:v>-12.80563585</c:v>
                </c:pt>
                <c:pt idx="4">
                  <c:v>-10.85999382</c:v>
                </c:pt>
                <c:pt idx="5">
                  <c:v>-9.2752767140000003</c:v>
                </c:pt>
                <c:pt idx="6">
                  <c:v>-8.0357035309999993</c:v>
                </c:pt>
                <c:pt idx="7">
                  <c:v>-7.1161549959999997</c:v>
                </c:pt>
                <c:pt idx="8">
                  <c:v>-6.4881275369999996</c:v>
                </c:pt>
                <c:pt idx="9">
                  <c:v>-6.1251794249999998</c:v>
                </c:pt>
                <c:pt idx="10">
                  <c:v>-6.0073008699999999</c:v>
                </c:pt>
                <c:pt idx="11">
                  <c:v>-4.9819807870000004</c:v>
                </c:pt>
                <c:pt idx="12">
                  <c:v>-4.0679289460000003</c:v>
                </c:pt>
                <c:pt idx="13">
                  <c:v>-3.2657604290000002</c:v>
                </c:pt>
                <c:pt idx="14">
                  <c:v>-2.5733771029999999</c:v>
                </c:pt>
                <c:pt idx="15">
                  <c:v>-1.9863305090000001</c:v>
                </c:pt>
                <c:pt idx="16">
                  <c:v>-1.4981798369999999</c:v>
                </c:pt>
                <c:pt idx="17">
                  <c:v>-1.1008768369999999</c:v>
                </c:pt>
                <c:pt idx="18">
                  <c:v>-0.78517152069999996</c:v>
                </c:pt>
                <c:pt idx="19">
                  <c:v>-0.5410267862</c:v>
                </c:pt>
                <c:pt idx="20">
                  <c:v>-0.35802950459999999</c:v>
                </c:pt>
                <c:pt idx="21">
                  <c:v>-0.22578608359999999</c:v>
                </c:pt>
                <c:pt idx="22">
                  <c:v>-0.13429097870000001</c:v>
                </c:pt>
                <c:pt idx="23">
                  <c:v>-7.425642331E-2</c:v>
                </c:pt>
                <c:pt idx="24">
                  <c:v>-3.7390771529999998E-2</c:v>
                </c:pt>
                <c:pt idx="25">
                  <c:v>-1.6611822839999998E-2</c:v>
                </c:pt>
                <c:pt idx="26">
                  <c:v>-6.1814552929999999E-3</c:v>
                </c:pt>
                <c:pt idx="27">
                  <c:v>-1.750057532E-3</c:v>
                </c:pt>
                <c:pt idx="28">
                  <c:v>-3.0393447629999999E-4</c:v>
                </c:pt>
                <c:pt idx="29" formatCode="0.000000000">
                  <c:v>-1.522886366E-5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25-4425-87E3-4360647E7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806975"/>
        <c:axId val="1997809471"/>
      </c:scatterChart>
      <c:valAx>
        <c:axId val="199780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</a:t>
                </a:r>
                <a:r>
                  <a:rPr lang="pt-BR" baseline="0"/>
                  <a:t> [m]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09471"/>
        <c:crosses val="autoZero"/>
        <c:crossBetween val="midCat"/>
      </c:valAx>
      <c:valAx>
        <c:axId val="1997809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  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7806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Distribuição</a:t>
            </a:r>
            <a:r>
              <a:rPr lang="pt-BR" baseline="0"/>
              <a:t> de sustentação para estol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asa superior</c:v>
          </c:tx>
          <c:spPr>
            <a:ln w="19050" cap="rnd">
              <a:solidFill>
                <a:schemeClr val="tx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'COMP. ASA CRUZ E ESTOL superior'!$D$5:$D$74</c:f>
              <c:numCache>
                <c:formatCode>General</c:formatCode>
                <c:ptCount val="70"/>
                <c:pt idx="0">
                  <c:v>-0.99882220749999995</c:v>
                </c:pt>
                <c:pt idx="1">
                  <c:v>-0.99412394169999996</c:v>
                </c:pt>
                <c:pt idx="2">
                  <c:v>-0.98477888520000001</c:v>
                </c:pt>
                <c:pt idx="3">
                  <c:v>-0.97088942440000003</c:v>
                </c:pt>
                <c:pt idx="4">
                  <c:v>-0.95260773519999997</c:v>
                </c:pt>
                <c:pt idx="5">
                  <c:v>-0.93013411560000003</c:v>
                </c:pt>
                <c:pt idx="6">
                  <c:v>-0.90371479129999999</c:v>
                </c:pt>
                <c:pt idx="7">
                  <c:v>-0.87363921779999998</c:v>
                </c:pt>
                <c:pt idx="8">
                  <c:v>-0.84023690959999997</c:v>
                </c:pt>
                <c:pt idx="9">
                  <c:v>-0.80387382919999995</c:v>
                </c:pt>
                <c:pt idx="10">
                  <c:v>-0.76494837829999995</c:v>
                </c:pt>
                <c:pt idx="11">
                  <c:v>-0.72388703210000005</c:v>
                </c:pt>
                <c:pt idx="12">
                  <c:v>-0.68113966729999997</c:v>
                </c:pt>
                <c:pt idx="13">
                  <c:v>-0.6371746331</c:v>
                </c:pt>
                <c:pt idx="14">
                  <c:v>-0.5924736196</c:v>
                </c:pt>
                <c:pt idx="15">
                  <c:v>-0.56912144009999999</c:v>
                </c:pt>
                <c:pt idx="16">
                  <c:v>-0.5656126172</c:v>
                </c:pt>
                <c:pt idx="17">
                  <c:v>-0.55861660440000005</c:v>
                </c:pt>
                <c:pt idx="18">
                  <c:v>-0.54817653450000003</c:v>
                </c:pt>
                <c:pt idx="19">
                  <c:v>-0.53435677390000003</c:v>
                </c:pt>
                <c:pt idx="20">
                  <c:v>-0.5172425262</c:v>
                </c:pt>
                <c:pt idx="21">
                  <c:v>-0.49693930619999999</c:v>
                </c:pt>
                <c:pt idx="22">
                  <c:v>-0.47357229020000002</c:v>
                </c:pt>
                <c:pt idx="23">
                  <c:v>-0.4472855436</c:v>
                </c:pt>
                <c:pt idx="24">
                  <c:v>-0.41824113280000003</c:v>
                </c:pt>
                <c:pt idx="25">
                  <c:v>-0.38661812639999998</c:v>
                </c:pt>
                <c:pt idx="26">
                  <c:v>-0.35261149069999997</c:v>
                </c:pt>
                <c:pt idx="27">
                  <c:v>-0.3164308878</c:v>
                </c:pt>
                <c:pt idx="28">
                  <c:v>-0.27829938339999999</c:v>
                </c:pt>
                <c:pt idx="29">
                  <c:v>-0.23845207060000001</c:v>
                </c:pt>
                <c:pt idx="30" formatCode="0,000,000,000">
                  <c:v>-0.1971346216</c:v>
                </c:pt>
                <c:pt idx="31" formatCode="0,000,000,000">
                  <c:v>-0.15460177210000001</c:v>
                </c:pt>
                <c:pt idx="32" formatCode="0,000,000,000">
                  <c:v>-0.1111157512</c:v>
                </c:pt>
                <c:pt idx="33" formatCode="0,000,000,000">
                  <c:v>-6.6944664819999999E-2</c:v>
                </c:pt>
                <c:pt idx="34" formatCode="0,000,000,000">
                  <c:v>-2.2360842280000001E-2</c:v>
                </c:pt>
                <c:pt idx="35" formatCode="0,000,000,000">
                  <c:v>2.2360842280000001E-2</c:v>
                </c:pt>
                <c:pt idx="36" formatCode="0,000,000,000">
                  <c:v>6.6944664819999999E-2</c:v>
                </c:pt>
                <c:pt idx="37" formatCode="0,000,000,000">
                  <c:v>0.1111157512</c:v>
                </c:pt>
                <c:pt idx="38" formatCode="0,000,000,000">
                  <c:v>0.15460177210000001</c:v>
                </c:pt>
                <c:pt idx="39" formatCode="0,000,000,000">
                  <c:v>0.1971346216</c:v>
                </c:pt>
                <c:pt idx="40" formatCode="0,000,000,000">
                  <c:v>0.23845207060000001</c:v>
                </c:pt>
                <c:pt idx="41" formatCode="0,000,000,000">
                  <c:v>0.27829938339999999</c:v>
                </c:pt>
                <c:pt idx="42" formatCode="0,000,000,000">
                  <c:v>0.3164308878</c:v>
                </c:pt>
                <c:pt idx="43" formatCode="0,000,000,000">
                  <c:v>0.35261149069999997</c:v>
                </c:pt>
                <c:pt idx="44" formatCode="0,000,000,000">
                  <c:v>0.38661812639999998</c:v>
                </c:pt>
                <c:pt idx="45" formatCode="0,000,000,000">
                  <c:v>0.41824113280000003</c:v>
                </c:pt>
                <c:pt idx="46" formatCode="0,000,000,000">
                  <c:v>0.4472855436</c:v>
                </c:pt>
                <c:pt idx="47" formatCode="0,000,000,000">
                  <c:v>0.47357229020000002</c:v>
                </c:pt>
                <c:pt idx="48" formatCode="0,000,000,000">
                  <c:v>0.49693930619999999</c:v>
                </c:pt>
                <c:pt idx="49" formatCode="0,000,000,000">
                  <c:v>0.5172425262</c:v>
                </c:pt>
                <c:pt idx="50" formatCode="0,000,000,000">
                  <c:v>0.53435677390000003</c:v>
                </c:pt>
                <c:pt idx="51" formatCode="0,000,000,000">
                  <c:v>0.54817653450000003</c:v>
                </c:pt>
                <c:pt idx="52" formatCode="0,000,000,000">
                  <c:v>0.55861660440000005</c:v>
                </c:pt>
                <c:pt idx="53" formatCode="0,000,000,000">
                  <c:v>0.5656126172</c:v>
                </c:pt>
                <c:pt idx="54" formatCode="0,000,000,000">
                  <c:v>0.56912144009999999</c:v>
                </c:pt>
                <c:pt idx="55" formatCode="0,000,000,000">
                  <c:v>0.5924736196</c:v>
                </c:pt>
                <c:pt idx="56" formatCode="0,000,000,000">
                  <c:v>0.6371746331</c:v>
                </c:pt>
                <c:pt idx="57" formatCode="0,000,000,000">
                  <c:v>0.68113966729999997</c:v>
                </c:pt>
                <c:pt idx="58" formatCode="0,000,000,000">
                  <c:v>0.72388703210000005</c:v>
                </c:pt>
                <c:pt idx="59" formatCode="0,000,000,000">
                  <c:v>0.76494837829999995</c:v>
                </c:pt>
                <c:pt idx="60">
                  <c:v>0.80387382919999995</c:v>
                </c:pt>
                <c:pt idx="61">
                  <c:v>0.84023690959999997</c:v>
                </c:pt>
                <c:pt idx="62">
                  <c:v>0.87363921779999998</c:v>
                </c:pt>
                <c:pt idx="63">
                  <c:v>0.90371479129999999</c:v>
                </c:pt>
                <c:pt idx="64">
                  <c:v>0.93013411560000003</c:v>
                </c:pt>
                <c:pt idx="65">
                  <c:v>0.95260773519999997</c:v>
                </c:pt>
                <c:pt idx="66">
                  <c:v>0.97088942440000003</c:v>
                </c:pt>
                <c:pt idx="67">
                  <c:v>0.98477888520000001</c:v>
                </c:pt>
                <c:pt idx="68">
                  <c:v>0.99412394169999996</c:v>
                </c:pt>
                <c:pt idx="69">
                  <c:v>0.99882220749999995</c:v>
                </c:pt>
              </c:numCache>
            </c:numRef>
          </c:xVal>
          <c:yVal>
            <c:numRef>
              <c:f>'COMP. ASA CRUZ E ESTOL superior'!$G$5:$G$74</c:f>
              <c:numCache>
                <c:formatCode>_(* #,##0.00_);_(* \(#,##0.00\);_(* "-"??_);_(@_)</c:formatCode>
                <c:ptCount val="70"/>
                <c:pt idx="0">
                  <c:v>34.094135380006918</c:v>
                </c:pt>
                <c:pt idx="1">
                  <c:v>60.448655973936759</c:v>
                </c:pt>
                <c:pt idx="2">
                  <c:v>87.580248231932615</c:v>
                </c:pt>
                <c:pt idx="3">
                  <c:v>113.69895466501634</c:v>
                </c:pt>
                <c:pt idx="4">
                  <c:v>138.20706924040519</c:v>
                </c:pt>
                <c:pt idx="5">
                  <c:v>160.72298368901087</c:v>
                </c:pt>
                <c:pt idx="6">
                  <c:v>180.98091421470002</c:v>
                </c:pt>
                <c:pt idx="7">
                  <c:v>198.81071984508131</c:v>
                </c:pt>
                <c:pt idx="8">
                  <c:v>214.13363598473279</c:v>
                </c:pt>
                <c:pt idx="9">
                  <c:v>226.96332654505815</c:v>
                </c:pt>
                <c:pt idx="10">
                  <c:v>237.40479287076411</c:v>
                </c:pt>
                <c:pt idx="11">
                  <c:v>245.64199800683031</c:v>
                </c:pt>
                <c:pt idx="12">
                  <c:v>251.90632015932786</c:v>
                </c:pt>
                <c:pt idx="13">
                  <c:v>256.41838626202536</c:v>
                </c:pt>
                <c:pt idx="14">
                  <c:v>259.23380071068931</c:v>
                </c:pt>
                <c:pt idx="15">
                  <c:v>259.97888698710148</c:v>
                </c:pt>
                <c:pt idx="16">
                  <c:v>260.63508982357166</c:v>
                </c:pt>
                <c:pt idx="17">
                  <c:v>261.90975723984013</c:v>
                </c:pt>
                <c:pt idx="18">
                  <c:v>263.50643345166958</c:v>
                </c:pt>
                <c:pt idx="19">
                  <c:v>265.32268077915319</c:v>
                </c:pt>
                <c:pt idx="20">
                  <c:v>267.31068713954335</c:v>
                </c:pt>
                <c:pt idx="21">
                  <c:v>269.42430526470258</c:v>
                </c:pt>
                <c:pt idx="22">
                  <c:v>271.61230655164138</c:v>
                </c:pt>
                <c:pt idx="23">
                  <c:v>273.82231046758949</c:v>
                </c:pt>
                <c:pt idx="24">
                  <c:v>276.00454559693333</c:v>
                </c:pt>
                <c:pt idx="25">
                  <c:v>278.11410457711946</c:v>
                </c:pt>
                <c:pt idx="26">
                  <c:v>280.11191617161455</c:v>
                </c:pt>
                <c:pt idx="27">
                  <c:v>281.96477282336321</c:v>
                </c:pt>
                <c:pt idx="28">
                  <c:v>283.64475691369984</c:v>
                </c:pt>
                <c:pt idx="29">
                  <c:v>285.12841144667175</c:v>
                </c:pt>
                <c:pt idx="30">
                  <c:v>286.39596453853892</c:v>
                </c:pt>
                <c:pt idx="31">
                  <c:v>287.43081664142255</c:v>
                </c:pt>
                <c:pt idx="32">
                  <c:v>288.2193641577864</c:v>
                </c:pt>
                <c:pt idx="33">
                  <c:v>288.75108991123795</c:v>
                </c:pt>
                <c:pt idx="34">
                  <c:v>289.01878780483656</c:v>
                </c:pt>
                <c:pt idx="35">
                  <c:v>289.01878780483656</c:v>
                </c:pt>
                <c:pt idx="36">
                  <c:v>288.75108991123795</c:v>
                </c:pt>
                <c:pt idx="37">
                  <c:v>288.2193641577864</c:v>
                </c:pt>
                <c:pt idx="38">
                  <c:v>287.43081664142255</c:v>
                </c:pt>
                <c:pt idx="39">
                  <c:v>286.39596453853892</c:v>
                </c:pt>
                <c:pt idx="40">
                  <c:v>285.12841144667175</c:v>
                </c:pt>
                <c:pt idx="41">
                  <c:v>283.64475691369984</c:v>
                </c:pt>
                <c:pt idx="42">
                  <c:v>281.96477282336321</c:v>
                </c:pt>
                <c:pt idx="43">
                  <c:v>280.11191617161455</c:v>
                </c:pt>
                <c:pt idx="44">
                  <c:v>278.11410457711946</c:v>
                </c:pt>
                <c:pt idx="45">
                  <c:v>276.00454559693333</c:v>
                </c:pt>
                <c:pt idx="46">
                  <c:v>273.82231046758949</c:v>
                </c:pt>
                <c:pt idx="47">
                  <c:v>271.61230655164138</c:v>
                </c:pt>
                <c:pt idx="48">
                  <c:v>269.42430526470258</c:v>
                </c:pt>
                <c:pt idx="49">
                  <c:v>267.31068713954335</c:v>
                </c:pt>
                <c:pt idx="50">
                  <c:v>265.32268077915319</c:v>
                </c:pt>
                <c:pt idx="51">
                  <c:v>263.50643345166958</c:v>
                </c:pt>
                <c:pt idx="52">
                  <c:v>261.90975723984013</c:v>
                </c:pt>
                <c:pt idx="53">
                  <c:v>260.63508982357166</c:v>
                </c:pt>
                <c:pt idx="54">
                  <c:v>259.97888698710148</c:v>
                </c:pt>
                <c:pt idx="55">
                  <c:v>259.23380071068931</c:v>
                </c:pt>
                <c:pt idx="56">
                  <c:v>256.41838626202536</c:v>
                </c:pt>
                <c:pt idx="57">
                  <c:v>251.90632015932786</c:v>
                </c:pt>
                <c:pt idx="58">
                  <c:v>245.64199800683031</c:v>
                </c:pt>
                <c:pt idx="59">
                  <c:v>237.40479287076411</c:v>
                </c:pt>
                <c:pt idx="60">
                  <c:v>226.96332654505815</c:v>
                </c:pt>
                <c:pt idx="61">
                  <c:v>214.13363598473279</c:v>
                </c:pt>
                <c:pt idx="62">
                  <c:v>198.81071984508131</c:v>
                </c:pt>
                <c:pt idx="63">
                  <c:v>180.98091421470002</c:v>
                </c:pt>
                <c:pt idx="64">
                  <c:v>160.72298368901087</c:v>
                </c:pt>
                <c:pt idx="65">
                  <c:v>138.20706924040519</c:v>
                </c:pt>
                <c:pt idx="66">
                  <c:v>113.69895466501634</c:v>
                </c:pt>
                <c:pt idx="67">
                  <c:v>87.580248231932615</c:v>
                </c:pt>
                <c:pt idx="68">
                  <c:v>60.448655973936759</c:v>
                </c:pt>
                <c:pt idx="69">
                  <c:v>34.094135380006918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18-4610-8021-50008FD2B9F1}"/>
            </c:ext>
          </c:extLst>
        </c:ser>
        <c:ser>
          <c:idx val="1"/>
          <c:order val="1"/>
          <c:tx>
            <c:v>Asa inferior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'COMP. ASA CRUZ E ESTOL inferior'!$D$5:$D$64</c:f>
              <c:numCache>
                <c:formatCode>General</c:formatCode>
                <c:ptCount val="60"/>
                <c:pt idx="0">
                  <c:v>-0.79928482140000001</c:v>
                </c:pt>
                <c:pt idx="1">
                  <c:v>-0.79642851640000001</c:v>
                </c:pt>
                <c:pt idx="2">
                  <c:v>-0.79073351660000002</c:v>
                </c:pt>
                <c:pt idx="3">
                  <c:v>-0.78223493330000005</c:v>
                </c:pt>
                <c:pt idx="4">
                  <c:v>-0.7709851633</c:v>
                </c:pt>
                <c:pt idx="5">
                  <c:v>-0.7570535652</c:v>
                </c:pt>
                <c:pt idx="6">
                  <c:v>-0.74052603169999998</c:v>
                </c:pt>
                <c:pt idx="7">
                  <c:v>-0.72150446079999997</c:v>
                </c:pt>
                <c:pt idx="8">
                  <c:v>-0.70010612670000005</c:v>
                </c:pt>
                <c:pt idx="9">
                  <c:v>-0.67646295729999995</c:v>
                </c:pt>
                <c:pt idx="10">
                  <c:v>-0.65072072039999995</c:v>
                </c:pt>
                <c:pt idx="11">
                  <c:v>-0.62303812569999995</c:v>
                </c:pt>
                <c:pt idx="12">
                  <c:v>-0.59358584550000004</c:v>
                </c:pt>
                <c:pt idx="13">
                  <c:v>-0.56254546299999997</c:v>
                </c:pt>
                <c:pt idx="14">
                  <c:v>-0.53010835219999997</c:v>
                </c:pt>
                <c:pt idx="15">
                  <c:v>-0.49647449900000001</c:v>
                </c:pt>
                <c:pt idx="16">
                  <c:v>-0.46185126710000002</c:v>
                </c:pt>
                <c:pt idx="17">
                  <c:v>-0.42645212030000001</c:v>
                </c:pt>
                <c:pt idx="18">
                  <c:v>-0.39049530609999999</c:v>
                </c:pt>
                <c:pt idx="19">
                  <c:v>-0.35420251019999999</c:v>
                </c:pt>
                <c:pt idx="20">
                  <c:v>-0.33393164120000002</c:v>
                </c:pt>
                <c:pt idx="21">
                  <c:v>-0.32570913600000001</c:v>
                </c:pt>
                <c:pt idx="22">
                  <c:v>-0.3094665908</c:v>
                </c:pt>
                <c:pt idx="23">
                  <c:v>-0.28560395109999998</c:v>
                </c:pt>
                <c:pt idx="24">
                  <c:v>-0.25470879429999999</c:v>
                </c:pt>
                <c:pt idx="25">
                  <c:v>-0.2175418616</c:v>
                </c:pt>
                <c:pt idx="26">
                  <c:v>-0.1750183263</c:v>
                </c:pt>
                <c:pt idx="27">
                  <c:v>-0.128185259</c:v>
                </c:pt>
                <c:pt idx="28">
                  <c:v>-7.8195845180000001E-2</c:v>
                </c:pt>
                <c:pt idx="29">
                  <c:v>-2.6280990130000001E-2</c:v>
                </c:pt>
                <c:pt idx="30" formatCode="0,000,000,000">
                  <c:v>2.6280990130000001E-2</c:v>
                </c:pt>
                <c:pt idx="31" formatCode="0,000,000,000">
                  <c:v>7.8195845180000001E-2</c:v>
                </c:pt>
                <c:pt idx="32" formatCode="0,000,000,000">
                  <c:v>0.128185259</c:v>
                </c:pt>
                <c:pt idx="33" formatCode="0,000,000,000">
                  <c:v>0.1750183263</c:v>
                </c:pt>
                <c:pt idx="34" formatCode="0,000,000,000">
                  <c:v>0.2175418616</c:v>
                </c:pt>
                <c:pt idx="35" formatCode="0,000,000,000">
                  <c:v>0.25470879429999999</c:v>
                </c:pt>
                <c:pt idx="36" formatCode="0,000,000,000">
                  <c:v>0.28560395109999998</c:v>
                </c:pt>
                <c:pt idx="37" formatCode="0,000,000,000">
                  <c:v>0.3094665908</c:v>
                </c:pt>
                <c:pt idx="38" formatCode="0,000,000,000">
                  <c:v>0.32570913600000001</c:v>
                </c:pt>
                <c:pt idx="39" formatCode="0,000,000,000">
                  <c:v>0.33393164120000002</c:v>
                </c:pt>
                <c:pt idx="40" formatCode="0,000,000,000">
                  <c:v>0.35420251019999999</c:v>
                </c:pt>
                <c:pt idx="41" formatCode="0,000,000,000">
                  <c:v>0.39049530609999999</c:v>
                </c:pt>
                <c:pt idx="42" formatCode="0,000,000,000">
                  <c:v>0.42645212030000001</c:v>
                </c:pt>
                <c:pt idx="43" formatCode="0,000,000,000">
                  <c:v>0.46185126710000002</c:v>
                </c:pt>
                <c:pt idx="44" formatCode="0,000,000,000">
                  <c:v>0.49647449900000001</c:v>
                </c:pt>
                <c:pt idx="45" formatCode="0,000,000,000">
                  <c:v>0.53010835219999997</c:v>
                </c:pt>
                <c:pt idx="46" formatCode="0,000,000,000">
                  <c:v>0.56254546299999997</c:v>
                </c:pt>
                <c:pt idx="47" formatCode="0,000,000,000">
                  <c:v>0.59358584550000004</c:v>
                </c:pt>
                <c:pt idx="48" formatCode="0,000,000,000">
                  <c:v>0.62303812569999995</c:v>
                </c:pt>
                <c:pt idx="49" formatCode="0,000,000,000">
                  <c:v>0.65072072039999995</c:v>
                </c:pt>
                <c:pt idx="50" formatCode="0,000,000,000">
                  <c:v>0.67646295729999995</c:v>
                </c:pt>
                <c:pt idx="51" formatCode="0,000,000,000">
                  <c:v>0.70010612670000005</c:v>
                </c:pt>
                <c:pt idx="52" formatCode="0,000,000,000">
                  <c:v>0.72150446079999997</c:v>
                </c:pt>
                <c:pt idx="53" formatCode="0,000,000,000">
                  <c:v>0.74052603169999998</c:v>
                </c:pt>
                <c:pt idx="54" formatCode="0,000,000,000">
                  <c:v>0.7570535652</c:v>
                </c:pt>
                <c:pt idx="55" formatCode="0,000,000,000">
                  <c:v>0.7709851633</c:v>
                </c:pt>
                <c:pt idx="56" formatCode="0,000,000,000">
                  <c:v>0.78223493330000005</c:v>
                </c:pt>
                <c:pt idx="57" formatCode="0,000,000,000">
                  <c:v>0.79073351660000002</c:v>
                </c:pt>
                <c:pt idx="58" formatCode="0,000,000,000">
                  <c:v>0.79642851640000001</c:v>
                </c:pt>
                <c:pt idx="59" formatCode="0,000,000,000">
                  <c:v>0.79928482140000001</c:v>
                </c:pt>
              </c:numCache>
            </c:numRef>
          </c:xVal>
          <c:yVal>
            <c:numRef>
              <c:f>'COMP. ASA CRUZ E ESTOL inferior'!$G$5:$G$64</c:f>
              <c:numCache>
                <c:formatCode>_(* #,##0.00_);_(* \(#,##0.00\);_(* "-"??_);_(@_)</c:formatCode>
                <c:ptCount val="60"/>
                <c:pt idx="0">
                  <c:v>36.121644709234154</c:v>
                </c:pt>
                <c:pt idx="1">
                  <c:v>64.186544404270492</c:v>
                </c:pt>
                <c:pt idx="2">
                  <c:v>92.76723870402617</c:v>
                </c:pt>
                <c:pt idx="3">
                  <c:v>119.04685630874351</c:v>
                </c:pt>
                <c:pt idx="4">
                  <c:v>142.61554649276226</c:v>
                </c:pt>
                <c:pt idx="5">
                  <c:v>163.09905131652127</c:v>
                </c:pt>
                <c:pt idx="6">
                  <c:v>180.34513315473919</c:v>
                </c:pt>
                <c:pt idx="7">
                  <c:v>194.37901752311791</c:v>
                </c:pt>
                <c:pt idx="8">
                  <c:v>205.370550116446</c:v>
                </c:pt>
                <c:pt idx="9">
                  <c:v>213.59544080965304</c:v>
                </c:pt>
                <c:pt idx="10">
                  <c:v>219.39202848638263</c:v>
                </c:pt>
                <c:pt idx="11">
                  <c:v>223.12003036736851</c:v>
                </c:pt>
                <c:pt idx="12">
                  <c:v>225.12757017646166</c:v>
                </c:pt>
                <c:pt idx="13">
                  <c:v>225.72929917674492</c:v>
                </c:pt>
                <c:pt idx="14">
                  <c:v>225.19479106648495</c:v>
                </c:pt>
                <c:pt idx="15">
                  <c:v>223.74417171874242</c:v>
                </c:pt>
                <c:pt idx="16">
                  <c:v>221.54665722095595</c:v>
                </c:pt>
                <c:pt idx="17">
                  <c:v>218.71499979218697</c:v>
                </c:pt>
                <c:pt idx="18">
                  <c:v>215.2750599793961</c:v>
                </c:pt>
                <c:pt idx="19">
                  <c:v>210.98973268801808</c:v>
                </c:pt>
                <c:pt idx="20">
                  <c:v>207.98439746431572</c:v>
                </c:pt>
                <c:pt idx="21">
                  <c:v>209.55183989173602</c:v>
                </c:pt>
                <c:pt idx="22">
                  <c:v>211.58717864436713</c:v>
                </c:pt>
                <c:pt idx="23">
                  <c:v>213.72607836844668</c:v>
                </c:pt>
                <c:pt idx="24">
                  <c:v>215.84300041349809</c:v>
                </c:pt>
                <c:pt idx="25">
                  <c:v>217.82883916291914</c:v>
                </c:pt>
                <c:pt idx="26">
                  <c:v>219.56850838115301</c:v>
                </c:pt>
                <c:pt idx="27">
                  <c:v>220.96118595381006</c:v>
                </c:pt>
                <c:pt idx="28">
                  <c:v>221.93059881227927</c:v>
                </c:pt>
                <c:pt idx="29">
                  <c:v>222.42728806658045</c:v>
                </c:pt>
                <c:pt idx="30">
                  <c:v>222.42728806658045</c:v>
                </c:pt>
                <c:pt idx="31">
                  <c:v>221.93059881227927</c:v>
                </c:pt>
                <c:pt idx="32">
                  <c:v>220.96118595381006</c:v>
                </c:pt>
                <c:pt idx="33">
                  <c:v>219.56850838115301</c:v>
                </c:pt>
                <c:pt idx="34">
                  <c:v>217.82883916291914</c:v>
                </c:pt>
                <c:pt idx="35">
                  <c:v>215.84300041349809</c:v>
                </c:pt>
                <c:pt idx="36">
                  <c:v>213.72607836844668</c:v>
                </c:pt>
                <c:pt idx="37">
                  <c:v>211.58717864436713</c:v>
                </c:pt>
                <c:pt idx="38">
                  <c:v>209.55183989173602</c:v>
                </c:pt>
                <c:pt idx="39">
                  <c:v>207.98439746431572</c:v>
                </c:pt>
                <c:pt idx="40">
                  <c:v>210.98973268801808</c:v>
                </c:pt>
                <c:pt idx="41">
                  <c:v>215.2750599793961</c:v>
                </c:pt>
                <c:pt idx="42">
                  <c:v>218.71499979218697</c:v>
                </c:pt>
                <c:pt idx="43">
                  <c:v>221.54665722095595</c:v>
                </c:pt>
                <c:pt idx="44">
                  <c:v>223.74417171874242</c:v>
                </c:pt>
                <c:pt idx="45">
                  <c:v>225.19479106648495</c:v>
                </c:pt>
                <c:pt idx="46">
                  <c:v>225.72929917674492</c:v>
                </c:pt>
                <c:pt idx="47">
                  <c:v>225.12757017646166</c:v>
                </c:pt>
                <c:pt idx="48">
                  <c:v>223.12003036736851</c:v>
                </c:pt>
                <c:pt idx="49">
                  <c:v>219.39202848638263</c:v>
                </c:pt>
                <c:pt idx="50">
                  <c:v>213.59544080965304</c:v>
                </c:pt>
                <c:pt idx="51">
                  <c:v>205.370550116446</c:v>
                </c:pt>
                <c:pt idx="52">
                  <c:v>194.37901752311791</c:v>
                </c:pt>
                <c:pt idx="53">
                  <c:v>180.34513315473919</c:v>
                </c:pt>
                <c:pt idx="54">
                  <c:v>163.09905131652127</c:v>
                </c:pt>
                <c:pt idx="55">
                  <c:v>142.61554649276226</c:v>
                </c:pt>
                <c:pt idx="56">
                  <c:v>119.04685630874351</c:v>
                </c:pt>
                <c:pt idx="57">
                  <c:v>92.76723870402617</c:v>
                </c:pt>
                <c:pt idx="58">
                  <c:v>64.186544404270492</c:v>
                </c:pt>
                <c:pt idx="59">
                  <c:v>36.121644709234154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18-4610-8021-50008FD2B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455648"/>
        <c:axId val="1922451328"/>
      </c:scatterChart>
      <c:valAx>
        <c:axId val="1922455648"/>
        <c:scaling>
          <c:orientation val="minMax"/>
          <c:max val="1"/>
          <c:min val="-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Envergadura</a:t>
                </a:r>
                <a:r>
                  <a:rPr lang="pt-BR" baseline="0"/>
                  <a:t> [m]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451328"/>
        <c:crosses val="autoZero"/>
        <c:crossBetween val="midCat"/>
      </c:valAx>
      <c:valAx>
        <c:axId val="1922451328"/>
        <c:scaling>
          <c:orientation val="minMax"/>
          <c:min val="40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Força</a:t>
                </a:r>
                <a:r>
                  <a:rPr lang="pt-BR" baseline="0"/>
                  <a:t> de sustentação [N]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2455648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18" Type="http://schemas.openxmlformats.org/officeDocument/2006/relationships/chart" Target="../charts/chart3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17" Type="http://schemas.openxmlformats.org/officeDocument/2006/relationships/chart" Target="../charts/chart35.xml"/><Relationship Id="rId2" Type="http://schemas.openxmlformats.org/officeDocument/2006/relationships/chart" Target="../charts/chart20.xml"/><Relationship Id="rId16" Type="http://schemas.openxmlformats.org/officeDocument/2006/relationships/chart" Target="../charts/chart34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5" Type="http://schemas.openxmlformats.org/officeDocument/2006/relationships/chart" Target="../charts/chart3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645219</xdr:colOff>
      <xdr:row>5</xdr:row>
      <xdr:rowOff>71021</xdr:rowOff>
    </xdr:from>
    <xdr:to>
      <xdr:col>24</xdr:col>
      <xdr:colOff>91359</xdr:colOff>
      <xdr:row>27</xdr:row>
      <xdr:rowOff>25632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9355E7-C587-AAF5-F445-586AA57F6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654051</xdr:colOff>
      <xdr:row>31</xdr:row>
      <xdr:rowOff>95250</xdr:rowOff>
    </xdr:from>
    <xdr:to>
      <xdr:col>24</xdr:col>
      <xdr:colOff>158751</xdr:colOff>
      <xdr:row>51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7BD95B-3FB5-8632-79B5-3E7C37654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257175</xdr:colOff>
      <xdr:row>5</xdr:row>
      <xdr:rowOff>69333</xdr:rowOff>
    </xdr:from>
    <xdr:to>
      <xdr:col>36</xdr:col>
      <xdr:colOff>378120</xdr:colOff>
      <xdr:row>27</xdr:row>
      <xdr:rowOff>66675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A771F31-AFA9-1314-CB98-F8A44A6FE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47622</xdr:colOff>
      <xdr:row>31</xdr:row>
      <xdr:rowOff>516</xdr:rowOff>
    </xdr:from>
    <xdr:to>
      <xdr:col>36</xdr:col>
      <xdr:colOff>-1</xdr:colOff>
      <xdr:row>51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B1D35A6-C3AB-CB3E-D3C7-8589FAF08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659948</xdr:colOff>
      <xdr:row>52</xdr:row>
      <xdr:rowOff>46945</xdr:rowOff>
    </xdr:from>
    <xdr:to>
      <xdr:col>24</xdr:col>
      <xdr:colOff>174949</xdr:colOff>
      <xdr:row>78</xdr:row>
      <xdr:rowOff>19439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206F42-9CCE-6671-EA37-85448E719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608171</xdr:colOff>
      <xdr:row>52</xdr:row>
      <xdr:rowOff>35293</xdr:rowOff>
    </xdr:from>
    <xdr:to>
      <xdr:col>36</xdr:col>
      <xdr:colOff>204107</xdr:colOff>
      <xdr:row>78</xdr:row>
      <xdr:rowOff>68036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F1C7AC0-F01B-E8C9-BBAC-30391ADD2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279493</xdr:colOff>
      <xdr:row>2</xdr:row>
      <xdr:rowOff>60275</xdr:rowOff>
    </xdr:from>
    <xdr:to>
      <xdr:col>62</xdr:col>
      <xdr:colOff>469446</xdr:colOff>
      <xdr:row>28</xdr:row>
      <xdr:rowOff>68035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A9BF972-D3F3-C182-3902-3E5402829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59718</xdr:colOff>
      <xdr:row>2</xdr:row>
      <xdr:rowOff>102506</xdr:rowOff>
    </xdr:from>
    <xdr:to>
      <xdr:col>77</xdr:col>
      <xdr:colOff>579437</xdr:colOff>
      <xdr:row>28</xdr:row>
      <xdr:rowOff>128984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138C3F3-5452-F278-1D46-AA4E10CAE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231069</xdr:colOff>
      <xdr:row>32</xdr:row>
      <xdr:rowOff>80079</xdr:rowOff>
    </xdr:from>
    <xdr:to>
      <xdr:col>62</xdr:col>
      <xdr:colOff>142875</xdr:colOff>
      <xdr:row>55</xdr:row>
      <xdr:rowOff>142875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5D08059-C947-72E8-B73D-686E1C7BE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64</xdr:col>
      <xdr:colOff>117202</xdr:colOff>
      <xdr:row>32</xdr:row>
      <xdr:rowOff>117907</xdr:rowOff>
    </xdr:from>
    <xdr:to>
      <xdr:col>77</xdr:col>
      <xdr:colOff>201736</xdr:colOff>
      <xdr:row>56</xdr:row>
      <xdr:rowOff>123611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81B74DD-BBAE-CE19-71D0-2927BCC85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401411</xdr:colOff>
      <xdr:row>59</xdr:row>
      <xdr:rowOff>145596</xdr:rowOff>
    </xdr:from>
    <xdr:to>
      <xdr:col>62</xdr:col>
      <xdr:colOff>401411</xdr:colOff>
      <xdr:row>82</xdr:row>
      <xdr:rowOff>183696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1698EF8-51FB-B5B1-160C-83661DD72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149018</xdr:colOff>
      <xdr:row>59</xdr:row>
      <xdr:rowOff>154810</xdr:rowOff>
    </xdr:from>
    <xdr:to>
      <xdr:col>78</xdr:col>
      <xdr:colOff>79732</xdr:colOff>
      <xdr:row>83</xdr:row>
      <xdr:rowOff>69028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FC63D48-25B0-22AC-D0B4-96A974BFE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88</xdr:col>
      <xdr:colOff>167723</xdr:colOff>
      <xdr:row>3</xdr:row>
      <xdr:rowOff>88209</xdr:rowOff>
    </xdr:from>
    <xdr:to>
      <xdr:col>100</xdr:col>
      <xdr:colOff>331304</xdr:colOff>
      <xdr:row>22</xdr:row>
      <xdr:rowOff>62119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9E252E-86B8-DFCA-5D68-51C9870B2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88</xdr:col>
      <xdr:colOff>148279</xdr:colOff>
      <xdr:row>23</xdr:row>
      <xdr:rowOff>66336</xdr:rowOff>
    </xdr:from>
    <xdr:to>
      <xdr:col>100</xdr:col>
      <xdr:colOff>402464</xdr:colOff>
      <xdr:row>45</xdr:row>
      <xdr:rowOff>40247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2105E4-E892-C16C-BFA1-68D370EFD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636628</xdr:colOff>
      <xdr:row>81</xdr:row>
      <xdr:rowOff>91750</xdr:rowOff>
    </xdr:from>
    <xdr:to>
      <xdr:col>23</xdr:col>
      <xdr:colOff>555625</xdr:colOff>
      <xdr:row>103</xdr:row>
      <xdr:rowOff>158750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AFC0B38-3A67-1EFD-2865-037DD8F43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482202</xdr:colOff>
      <xdr:row>81</xdr:row>
      <xdr:rowOff>59139</xdr:rowOff>
    </xdr:from>
    <xdr:to>
      <xdr:col>36</xdr:col>
      <xdr:colOff>194828</xdr:colOff>
      <xdr:row>103</xdr:row>
      <xdr:rowOff>194828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EC49BD8-3E38-DD68-D0CC-31B5FEC32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49</xdr:col>
      <xdr:colOff>355170</xdr:colOff>
      <xdr:row>86</xdr:row>
      <xdr:rowOff>0</xdr:rowOff>
    </xdr:from>
    <xdr:to>
      <xdr:col>63</xdr:col>
      <xdr:colOff>354887</xdr:colOff>
      <xdr:row>108</xdr:row>
      <xdr:rowOff>67000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FB05069-2BDF-4D0C-AA19-EFC6A7925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65</xdr:col>
      <xdr:colOff>0</xdr:colOff>
      <xdr:row>86</xdr:row>
      <xdr:rowOff>0</xdr:rowOff>
    </xdr:from>
    <xdr:to>
      <xdr:col>76</xdr:col>
      <xdr:colOff>326100</xdr:colOff>
      <xdr:row>108</xdr:row>
      <xdr:rowOff>135689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E90ED4C-08AC-4221-85F8-E243E863B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645219</xdr:colOff>
      <xdr:row>3</xdr:row>
      <xdr:rowOff>71021</xdr:rowOff>
    </xdr:from>
    <xdr:to>
      <xdr:col>24</xdr:col>
      <xdr:colOff>91359</xdr:colOff>
      <xdr:row>25</xdr:row>
      <xdr:rowOff>25632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7DF960-6E3B-46ED-9E0B-CEFA5AA12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654051</xdr:colOff>
      <xdr:row>29</xdr:row>
      <xdr:rowOff>95250</xdr:rowOff>
    </xdr:from>
    <xdr:to>
      <xdr:col>24</xdr:col>
      <xdr:colOff>158751</xdr:colOff>
      <xdr:row>49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8A6DF8-7891-4FFB-8513-40EE52B5B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257175</xdr:colOff>
      <xdr:row>3</xdr:row>
      <xdr:rowOff>69333</xdr:rowOff>
    </xdr:from>
    <xdr:to>
      <xdr:col>36</xdr:col>
      <xdr:colOff>378120</xdr:colOff>
      <xdr:row>25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F68827-027C-4D4C-884C-604F22D9E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47622</xdr:colOff>
      <xdr:row>29</xdr:row>
      <xdr:rowOff>516</xdr:rowOff>
    </xdr:from>
    <xdr:to>
      <xdr:col>36</xdr:col>
      <xdr:colOff>-1</xdr:colOff>
      <xdr:row>49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2443AB-7FA4-44F5-9931-B4448241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659948</xdr:colOff>
      <xdr:row>50</xdr:row>
      <xdr:rowOff>46945</xdr:rowOff>
    </xdr:from>
    <xdr:to>
      <xdr:col>24</xdr:col>
      <xdr:colOff>174949</xdr:colOff>
      <xdr:row>76</xdr:row>
      <xdr:rowOff>19439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273BBC-7882-4EF8-8482-F3861283F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608171</xdr:colOff>
      <xdr:row>50</xdr:row>
      <xdr:rowOff>35293</xdr:rowOff>
    </xdr:from>
    <xdr:to>
      <xdr:col>36</xdr:col>
      <xdr:colOff>204107</xdr:colOff>
      <xdr:row>76</xdr:row>
      <xdr:rowOff>68036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E0F82A3-4C0F-4E12-9CCD-D370B7DBD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279493</xdr:colOff>
      <xdr:row>0</xdr:row>
      <xdr:rowOff>60275</xdr:rowOff>
    </xdr:from>
    <xdr:to>
      <xdr:col>62</xdr:col>
      <xdr:colOff>469446</xdr:colOff>
      <xdr:row>26</xdr:row>
      <xdr:rowOff>68035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DAA9B3-3FD1-4574-9A27-EB7E6D2100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59718</xdr:colOff>
      <xdr:row>0</xdr:row>
      <xdr:rowOff>102506</xdr:rowOff>
    </xdr:from>
    <xdr:to>
      <xdr:col>77</xdr:col>
      <xdr:colOff>579437</xdr:colOff>
      <xdr:row>26</xdr:row>
      <xdr:rowOff>128984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BDDC513-2961-415C-85FF-C8CB20A97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231069</xdr:colOff>
      <xdr:row>30</xdr:row>
      <xdr:rowOff>80079</xdr:rowOff>
    </xdr:from>
    <xdr:to>
      <xdr:col>62</xdr:col>
      <xdr:colOff>142875</xdr:colOff>
      <xdr:row>53</xdr:row>
      <xdr:rowOff>142875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A015754-0542-41ED-88AF-F814C19B6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64</xdr:col>
      <xdr:colOff>117202</xdr:colOff>
      <xdr:row>30</xdr:row>
      <xdr:rowOff>117907</xdr:rowOff>
    </xdr:from>
    <xdr:to>
      <xdr:col>77</xdr:col>
      <xdr:colOff>201736</xdr:colOff>
      <xdr:row>54</xdr:row>
      <xdr:rowOff>123611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CD848BB-DA2B-4B45-A572-2D5F24F47E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49</xdr:col>
      <xdr:colOff>401411</xdr:colOff>
      <xdr:row>57</xdr:row>
      <xdr:rowOff>145596</xdr:rowOff>
    </xdr:from>
    <xdr:to>
      <xdr:col>62</xdr:col>
      <xdr:colOff>401411</xdr:colOff>
      <xdr:row>80</xdr:row>
      <xdr:rowOff>183696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83FC61E7-9074-48F2-9CA6-ACD4C963D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64</xdr:col>
      <xdr:colOff>149018</xdr:colOff>
      <xdr:row>57</xdr:row>
      <xdr:rowOff>154810</xdr:rowOff>
    </xdr:from>
    <xdr:to>
      <xdr:col>78</xdr:col>
      <xdr:colOff>79732</xdr:colOff>
      <xdr:row>81</xdr:row>
      <xdr:rowOff>69028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13CB534-69E8-4430-B491-F05184784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77</xdr:row>
      <xdr:rowOff>32611</xdr:rowOff>
    </xdr:from>
    <xdr:to>
      <xdr:col>24</xdr:col>
      <xdr:colOff>392740</xdr:colOff>
      <xdr:row>100</xdr:row>
      <xdr:rowOff>129690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917CD5F-C084-4A3F-9D4B-202373941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301771</xdr:colOff>
      <xdr:row>77</xdr:row>
      <xdr:rowOff>0</xdr:rowOff>
    </xdr:from>
    <xdr:to>
      <xdr:col>36</xdr:col>
      <xdr:colOff>422970</xdr:colOff>
      <xdr:row>100</xdr:row>
      <xdr:rowOff>165768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61ACDC9-FA93-4ACF-802E-DF1427F4B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50</xdr:col>
      <xdr:colOff>56029</xdr:colOff>
      <xdr:row>84</xdr:row>
      <xdr:rowOff>32611</xdr:rowOff>
    </xdr:from>
    <xdr:to>
      <xdr:col>63</xdr:col>
      <xdr:colOff>448769</xdr:colOff>
      <xdr:row>107</xdr:row>
      <xdr:rowOff>129690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4C5D2965-BA54-4224-AAC3-154F0F43C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64</xdr:col>
      <xdr:colOff>301772</xdr:colOff>
      <xdr:row>84</xdr:row>
      <xdr:rowOff>0</xdr:rowOff>
    </xdr:from>
    <xdr:to>
      <xdr:col>75</xdr:col>
      <xdr:colOff>422970</xdr:colOff>
      <xdr:row>107</xdr:row>
      <xdr:rowOff>165768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EA1387E-5957-4462-939C-090A199C42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89</xdr:col>
      <xdr:colOff>0</xdr:colOff>
      <xdr:row>2</xdr:row>
      <xdr:rowOff>0</xdr:rowOff>
    </xdr:from>
    <xdr:to>
      <xdr:col>102</xdr:col>
      <xdr:colOff>0</xdr:colOff>
      <xdr:row>25</xdr:row>
      <xdr:rowOff>38100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AD3388E-F6F2-4508-84E7-996369F178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103</xdr:col>
      <xdr:colOff>358183</xdr:colOff>
      <xdr:row>2</xdr:row>
      <xdr:rowOff>9214</xdr:rowOff>
    </xdr:from>
    <xdr:to>
      <xdr:col>117</xdr:col>
      <xdr:colOff>288897</xdr:colOff>
      <xdr:row>25</xdr:row>
      <xdr:rowOff>118816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99E23EC-266E-4C54-A83E-06887F0AC5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3</xdr:row>
      <xdr:rowOff>71437</xdr:rowOff>
    </xdr:from>
    <xdr:to>
      <xdr:col>25</xdr:col>
      <xdr:colOff>95251</xdr:colOff>
      <xdr:row>24</xdr:row>
      <xdr:rowOff>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F976E5-0E67-4888-B22C-45EC6A750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17858</xdr:colOff>
      <xdr:row>26</xdr:row>
      <xdr:rowOff>15477</xdr:rowOff>
    </xdr:from>
    <xdr:to>
      <xdr:col>25</xdr:col>
      <xdr:colOff>130968</xdr:colOff>
      <xdr:row>46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F1AFBC7-92FA-43FC-A409-66D698574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5951</xdr:colOff>
      <xdr:row>48</xdr:row>
      <xdr:rowOff>27384</xdr:rowOff>
    </xdr:from>
    <xdr:to>
      <xdr:col>25</xdr:col>
      <xdr:colOff>154780</xdr:colOff>
      <xdr:row>68</xdr:row>
      <xdr:rowOff>178594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0415CEB-3663-4995-8F2B-03263AD0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29764</xdr:colOff>
      <xdr:row>70</xdr:row>
      <xdr:rowOff>146445</xdr:rowOff>
    </xdr:from>
    <xdr:to>
      <xdr:col>25</xdr:col>
      <xdr:colOff>238124</xdr:colOff>
      <xdr:row>93</xdr:row>
      <xdr:rowOff>47624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181065-A34F-43F6-A9FA-72E4C0C2F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3</xdr:row>
      <xdr:rowOff>71437</xdr:rowOff>
    </xdr:from>
    <xdr:to>
      <xdr:col>25</xdr:col>
      <xdr:colOff>95251</xdr:colOff>
      <xdr:row>24</xdr:row>
      <xdr:rowOff>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946059-1352-9CF9-E26E-2F41F2205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17858</xdr:colOff>
      <xdr:row>26</xdr:row>
      <xdr:rowOff>15477</xdr:rowOff>
    </xdr:from>
    <xdr:to>
      <xdr:col>25</xdr:col>
      <xdr:colOff>130968</xdr:colOff>
      <xdr:row>46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CCE96F8-299B-5FDA-A1C2-BBA4FFB74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5951</xdr:colOff>
      <xdr:row>48</xdr:row>
      <xdr:rowOff>27384</xdr:rowOff>
    </xdr:from>
    <xdr:to>
      <xdr:col>25</xdr:col>
      <xdr:colOff>154780</xdr:colOff>
      <xdr:row>68</xdr:row>
      <xdr:rowOff>178594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6ACCDE-4AF2-C08B-59C2-3D7F91B5D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29764</xdr:colOff>
      <xdr:row>70</xdr:row>
      <xdr:rowOff>146445</xdr:rowOff>
    </xdr:from>
    <xdr:to>
      <xdr:col>25</xdr:col>
      <xdr:colOff>238124</xdr:colOff>
      <xdr:row>93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7FB098-8292-0070-0B11-EA0501559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0</xdr:row>
      <xdr:rowOff>90487</xdr:rowOff>
    </xdr:from>
    <xdr:to>
      <xdr:col>8</xdr:col>
      <xdr:colOff>57150</xdr:colOff>
      <xdr:row>14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3B7F32-29E2-1E1C-0641-9FDAAB2EA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6356-A0D1-494E-A1C6-8B456869964E}">
  <dimension ref="A1:CJ305"/>
  <sheetViews>
    <sheetView showGridLines="0" topLeftCell="BG1" zoomScale="93" zoomScaleNormal="94" workbookViewId="0">
      <selection activeCell="CH55" sqref="CH55"/>
    </sheetView>
  </sheetViews>
  <sheetFormatPr defaultRowHeight="15" x14ac:dyDescent="0.25"/>
  <cols>
    <col min="1" max="1" width="27.28515625" customWidth="1"/>
    <col min="2" max="2" width="9.140625" hidden="1" customWidth="1"/>
    <col min="3" max="3" width="24.85546875" customWidth="1"/>
    <col min="4" max="4" width="0.28515625" hidden="1" customWidth="1"/>
    <col min="5" max="5" width="15.28515625" customWidth="1"/>
    <col min="6" max="6" width="0.140625" hidden="1" customWidth="1"/>
    <col min="7" max="7" width="16.140625" customWidth="1"/>
    <col min="8" max="8" width="26.42578125" customWidth="1"/>
    <col min="9" max="9" width="30.85546875" customWidth="1"/>
    <col min="10" max="10" width="37.5703125" customWidth="1"/>
    <col min="11" max="11" width="19.5703125" customWidth="1"/>
    <col min="39" max="39" width="18.85546875" customWidth="1"/>
    <col min="40" max="40" width="0.140625" customWidth="1"/>
    <col min="41" max="41" width="18.42578125" customWidth="1"/>
    <col min="42" max="42" width="9.140625" hidden="1" customWidth="1"/>
    <col min="43" max="43" width="17.85546875" customWidth="1"/>
    <col min="44" max="44" width="9.140625" hidden="1" customWidth="1"/>
    <col min="45" max="45" width="18.42578125" customWidth="1"/>
    <col min="46" max="46" width="22" customWidth="1"/>
    <col min="47" max="47" width="17.140625" customWidth="1"/>
    <col min="48" max="48" width="17.7109375" customWidth="1"/>
    <col min="83" max="83" width="16.42578125" customWidth="1"/>
    <col min="84" max="84" width="18.42578125" customWidth="1"/>
    <col min="85" max="86" width="18.5703125" customWidth="1"/>
    <col min="87" max="87" width="18.140625" customWidth="1"/>
    <col min="88" max="88" width="18.28515625" customWidth="1"/>
    <col min="105" max="107" width="9.28515625" bestFit="1" customWidth="1"/>
    <col min="125" max="125" width="9.28515625" bestFit="1" customWidth="1"/>
    <col min="127" max="127" width="9.28515625" bestFit="1" customWidth="1"/>
    <col min="129" max="129" width="16.28515625" bestFit="1" customWidth="1"/>
    <col min="131" max="131" width="12.7109375" bestFit="1" customWidth="1"/>
    <col min="133" max="133" width="9.28515625" bestFit="1" customWidth="1"/>
    <col min="134" max="134" width="17.140625" bestFit="1" customWidth="1"/>
    <col min="163" max="163" width="20.7109375" bestFit="1" customWidth="1"/>
    <col min="165" max="165" width="9.28515625" bestFit="1" customWidth="1"/>
    <col min="167" max="167" width="16.28515625" bestFit="1" customWidth="1"/>
    <col min="169" max="169" width="12.7109375" bestFit="1" customWidth="1"/>
    <col min="171" max="171" width="9.28515625" bestFit="1" customWidth="1"/>
    <col min="172" max="172" width="17.140625" bestFit="1" customWidth="1"/>
  </cols>
  <sheetData>
    <row r="1" spans="1:88" x14ac:dyDescent="0.25">
      <c r="A1" s="60"/>
      <c r="B1" s="60"/>
      <c r="C1" s="60"/>
      <c r="D1" s="60"/>
      <c r="E1" s="60"/>
      <c r="F1" s="60"/>
      <c r="G1" s="60"/>
      <c r="H1" s="60"/>
    </row>
    <row r="2" spans="1:88" x14ac:dyDescent="0.25">
      <c r="A2" s="60"/>
      <c r="B2" s="60"/>
      <c r="C2" s="60"/>
      <c r="D2" s="60"/>
      <c r="E2" s="60"/>
      <c r="F2" s="60"/>
      <c r="G2" s="60"/>
      <c r="H2" s="60"/>
      <c r="M2" s="13"/>
      <c r="U2" s="59"/>
      <c r="V2" s="59"/>
      <c r="W2" s="59"/>
      <c r="X2" s="59"/>
      <c r="Y2" s="59"/>
      <c r="Z2" s="59"/>
      <c r="AA2" s="59"/>
      <c r="AB2" s="59"/>
    </row>
    <row r="3" spans="1:88" x14ac:dyDescent="0.25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AM3" s="56" t="s">
        <v>1</v>
      </c>
      <c r="AN3" s="56"/>
      <c r="AO3" s="56"/>
      <c r="AP3" s="56"/>
      <c r="AQ3" s="56"/>
      <c r="AR3" s="56"/>
      <c r="AS3" s="56"/>
      <c r="AT3" s="56"/>
      <c r="AU3" s="56"/>
      <c r="AV3" s="56"/>
      <c r="CB3" s="57" t="s">
        <v>2</v>
      </c>
      <c r="CC3" s="57"/>
      <c r="CD3" s="57"/>
      <c r="CE3" s="63" t="s">
        <v>3</v>
      </c>
      <c r="CF3" s="63"/>
      <c r="CG3" s="63"/>
      <c r="CH3" s="63"/>
      <c r="CI3" s="63"/>
      <c r="CJ3" s="63"/>
    </row>
    <row r="4" spans="1:88" ht="30" x14ac:dyDescent="0.25">
      <c r="A4" s="62"/>
      <c r="B4" s="62"/>
      <c r="C4" s="62"/>
      <c r="D4" s="62"/>
      <c r="E4" s="62"/>
      <c r="F4" s="62"/>
      <c r="G4" s="62"/>
      <c r="H4" s="62"/>
      <c r="I4" s="62"/>
      <c r="J4" s="62"/>
      <c r="AM4" s="56"/>
      <c r="AN4" s="56"/>
      <c r="AO4" s="56"/>
      <c r="AP4" s="56"/>
      <c r="AQ4" s="56"/>
      <c r="AR4" s="56"/>
      <c r="AS4" s="56"/>
      <c r="AT4" s="56"/>
      <c r="AU4" s="56"/>
      <c r="AV4" s="56"/>
      <c r="CB4" s="1" t="s">
        <v>4</v>
      </c>
      <c r="CC4" s="52" t="s">
        <v>5</v>
      </c>
      <c r="CD4" s="52" t="s">
        <v>6</v>
      </c>
      <c r="CE4" s="15" t="s">
        <v>7</v>
      </c>
      <c r="CF4" s="55" t="s">
        <v>8</v>
      </c>
      <c r="CG4" s="16" t="s">
        <v>9</v>
      </c>
      <c r="CH4" s="17" t="s">
        <v>10</v>
      </c>
      <c r="CI4" s="54" t="s">
        <v>11</v>
      </c>
      <c r="CJ4" s="54" t="s">
        <v>12</v>
      </c>
    </row>
    <row r="5" spans="1:88" x14ac:dyDescent="0.25">
      <c r="A5" s="64" t="s">
        <v>13</v>
      </c>
      <c r="B5" s="64"/>
      <c r="C5" s="64" t="s">
        <v>14</v>
      </c>
      <c r="D5" s="64"/>
      <c r="E5" s="64" t="s">
        <v>15</v>
      </c>
      <c r="F5" s="64"/>
      <c r="G5" s="22" t="s">
        <v>16</v>
      </c>
      <c r="H5" s="53" t="s">
        <v>17</v>
      </c>
      <c r="I5" s="14" t="s">
        <v>18</v>
      </c>
      <c r="J5" s="14" t="s">
        <v>19</v>
      </c>
      <c r="M5" s="4"/>
      <c r="AM5" s="61" t="s">
        <v>13</v>
      </c>
      <c r="AN5" s="61"/>
      <c r="AO5" s="61" t="s">
        <v>14</v>
      </c>
      <c r="AP5" s="61"/>
      <c r="AQ5" s="61" t="s">
        <v>15</v>
      </c>
      <c r="AR5" s="61"/>
      <c r="AS5" s="18" t="s">
        <v>20</v>
      </c>
      <c r="AT5" s="18" t="s">
        <v>21</v>
      </c>
      <c r="AU5" s="12" t="s">
        <v>18</v>
      </c>
      <c r="AV5" s="12" t="s">
        <v>19</v>
      </c>
      <c r="CB5" s="2">
        <v>1.117</v>
      </c>
      <c r="CC5" s="2">
        <v>16</v>
      </c>
      <c r="CD5" s="2">
        <v>1.016</v>
      </c>
      <c r="CE5" s="5">
        <v>0.16262872380000001</v>
      </c>
      <c r="CF5" s="9">
        <v>0.18293767420000001</v>
      </c>
      <c r="CG5" s="2">
        <f t="shared" ref="CG5:CG68" si="0">1/2*$CB$5*($CC$5)^2*$CD$5*CE5</f>
        <v>23.624036484653264</v>
      </c>
      <c r="CH5" s="2">
        <f t="shared" ref="CH5:CH68" si="1">1/2*$CB$5*($CC$5)^2*$CD$5*CF5</f>
        <v>26.574188056921912</v>
      </c>
      <c r="CI5" s="5">
        <v>-0.8746552595</v>
      </c>
      <c r="CJ5" s="20">
        <f>-(CI5/$CI$5)</f>
        <v>-1</v>
      </c>
    </row>
    <row r="6" spans="1:88" x14ac:dyDescent="0.25">
      <c r="A6" s="5">
        <v>0.16262872380000001</v>
      </c>
      <c r="B6" s="5"/>
      <c r="C6" s="8">
        <v>-0.875</v>
      </c>
      <c r="D6" s="6"/>
      <c r="E6" s="10">
        <f t="shared" ref="E6:E69" si="2">-(C6/$C$6)</f>
        <v>-1</v>
      </c>
      <c r="F6" s="7"/>
      <c r="G6" s="3">
        <f t="shared" ref="G6:G69" si="3">1/2*$CB$5*($CC$5)^2*$CD$5*A6</f>
        <v>23.624036484653264</v>
      </c>
      <c r="H6" s="25">
        <v>2.0100000000000001E-5</v>
      </c>
      <c r="I6" s="5">
        <v>3.816823338E-3</v>
      </c>
      <c r="J6" s="11">
        <v>-2.7499999999999999E-6</v>
      </c>
      <c r="M6" s="4"/>
      <c r="AM6" s="9">
        <v>0.18293767420000001</v>
      </c>
      <c r="AN6" s="5"/>
      <c r="AO6" s="5">
        <v>-0.8746552595</v>
      </c>
      <c r="AP6" s="6"/>
      <c r="AQ6" s="10">
        <f t="shared" ref="AQ6:AQ69" si="4">-(AO6/$C$6)</f>
        <v>-0.99960601085714285</v>
      </c>
      <c r="AR6" s="7"/>
      <c r="AS6" s="3">
        <f>1/2*$CB$5*($CC$5)^2*$CD$5*AM6</f>
        <v>26.574188056921912</v>
      </c>
      <c r="AT6" s="28">
        <v>1.0499999999999999E-5</v>
      </c>
      <c r="AU6" s="5">
        <v>3.3987614059999998E-3</v>
      </c>
      <c r="AV6" s="8">
        <v>-2.4499999999999998E-6</v>
      </c>
      <c r="CB6" s="58" t="s">
        <v>22</v>
      </c>
      <c r="CC6" s="58"/>
      <c r="CD6" s="58"/>
      <c r="CE6" s="5">
        <v>0.27942670530000002</v>
      </c>
      <c r="CF6" s="9">
        <v>0.31384075810000001</v>
      </c>
      <c r="CG6" s="2">
        <f t="shared" si="0"/>
        <v>40.590533618844368</v>
      </c>
      <c r="CH6" s="2">
        <f t="shared" si="1"/>
        <v>45.589643369787296</v>
      </c>
      <c r="CI6" s="5">
        <v>-0.87327724220000003</v>
      </c>
      <c r="CJ6" s="20">
        <f t="shared" ref="CJ6:CJ69" si="5">-(CI6/$CI$5)</f>
        <v>-0.99842450235674829</v>
      </c>
    </row>
    <row r="7" spans="1:88" x14ac:dyDescent="0.25">
      <c r="A7" s="5">
        <v>0.27942670530000002</v>
      </c>
      <c r="B7" s="5"/>
      <c r="C7" s="8">
        <v>-0.873</v>
      </c>
      <c r="D7" s="6"/>
      <c r="E7" s="10">
        <f t="shared" si="2"/>
        <v>-0.99771428571428566</v>
      </c>
      <c r="F7" s="7"/>
      <c r="G7" s="3">
        <f t="shared" si="3"/>
        <v>40.590533618844368</v>
      </c>
      <c r="H7" s="25">
        <v>1.01E-4</v>
      </c>
      <c r="I7" s="5">
        <v>2.334787592E-2</v>
      </c>
      <c r="J7" s="8">
        <v>-5.3100000000000003E-5</v>
      </c>
      <c r="M7" s="4"/>
      <c r="AM7" s="9">
        <v>0.31384075810000001</v>
      </c>
      <c r="AN7" s="5"/>
      <c r="AO7" s="5">
        <v>-0.87327724220000003</v>
      </c>
      <c r="AP7" s="6"/>
      <c r="AQ7" s="10">
        <f t="shared" si="4"/>
        <v>-0.99803113394285714</v>
      </c>
      <c r="AR7" s="7"/>
      <c r="AS7" s="3">
        <f>1/2*$CB$5*($CC$5)^2*$CD$5*AM7</f>
        <v>45.589643369787296</v>
      </c>
      <c r="AT7" s="28">
        <v>5.4599999999999999E-5</v>
      </c>
      <c r="AU7" s="5">
        <v>2.076022039E-2</v>
      </c>
      <c r="AV7" s="8">
        <v>-4.7200000000000002E-5</v>
      </c>
      <c r="CE7" s="5">
        <v>0.3992435802</v>
      </c>
      <c r="CF7" s="9">
        <v>0.44712529029999998</v>
      </c>
      <c r="CG7" s="2">
        <f t="shared" si="0"/>
        <v>57.99556612463801</v>
      </c>
      <c r="CH7" s="2">
        <f t="shared" si="1"/>
        <v>64.951036474027731</v>
      </c>
      <c r="CI7" s="5">
        <v>-0.87052498489999997</v>
      </c>
      <c r="CJ7" s="20">
        <f t="shared" si="5"/>
        <v>-0.99527782568601819</v>
      </c>
    </row>
    <row r="8" spans="1:88" x14ac:dyDescent="0.25">
      <c r="A8" s="5">
        <v>0.3992435802</v>
      </c>
      <c r="B8" s="5"/>
      <c r="C8" s="5">
        <v>-0.87052498489999997</v>
      </c>
      <c r="D8" s="6"/>
      <c r="E8" s="10">
        <f t="shared" si="2"/>
        <v>-0.99488569702857144</v>
      </c>
      <c r="F8" s="7"/>
      <c r="G8" s="3">
        <f t="shared" si="3"/>
        <v>57.99556612463801</v>
      </c>
      <c r="H8" s="25">
        <v>2.7571036299999999E-4</v>
      </c>
      <c r="I8" s="5">
        <v>6.9302020850000007E-2</v>
      </c>
      <c r="J8" s="8">
        <v>-3.0172518270000001E-4</v>
      </c>
      <c r="M8" s="4"/>
      <c r="AM8" s="9">
        <v>0.44712529029999998</v>
      </c>
      <c r="AN8" s="5"/>
      <c r="AO8" s="5">
        <v>-0.87052498489999997</v>
      </c>
      <c r="AP8" s="6"/>
      <c r="AQ8" s="10">
        <f t="shared" si="4"/>
        <v>-0.99488569702857144</v>
      </c>
      <c r="AR8" s="7"/>
      <c r="AS8" s="3">
        <f t="shared" ref="AS8:AS69" si="6">1/2*$CB$5*($CC$5)^2*$CD$5*AM8</f>
        <v>64.951036474027731</v>
      </c>
      <c r="AT8" s="28">
        <v>1.512124914E-4</v>
      </c>
      <c r="AU8" s="5">
        <v>6.1387693889999997E-2</v>
      </c>
      <c r="AV8" s="8">
        <v>-2.6745051469999998E-4</v>
      </c>
      <c r="CE8" s="5">
        <v>0.51226107320000003</v>
      </c>
      <c r="CF8" s="9">
        <v>0.57166183010000005</v>
      </c>
      <c r="CG8" s="2">
        <f t="shared" si="0"/>
        <v>74.412895829072696</v>
      </c>
      <c r="CH8" s="2">
        <f t="shared" si="1"/>
        <v>83.041664569503652</v>
      </c>
      <c r="CI8" s="5">
        <v>-0.86640603100000002</v>
      </c>
      <c r="CJ8" s="20">
        <f t="shared" si="5"/>
        <v>-0.99056859441431167</v>
      </c>
    </row>
    <row r="9" spans="1:88" x14ac:dyDescent="0.25">
      <c r="A9" s="5">
        <v>0.51226107320000003</v>
      </c>
      <c r="B9" s="5"/>
      <c r="C9" s="5">
        <v>-0.86640603100000002</v>
      </c>
      <c r="D9" s="6"/>
      <c r="E9" s="10">
        <f t="shared" si="2"/>
        <v>-0.9901783211428572</v>
      </c>
      <c r="F9" s="7"/>
      <c r="G9" s="3">
        <f t="shared" si="3"/>
        <v>74.412895829072696</v>
      </c>
      <c r="H9" s="25">
        <v>5.7099323510000001E-4</v>
      </c>
      <c r="I9" s="5">
        <v>0.1506743995</v>
      </c>
      <c r="J9" s="8">
        <v>-1.056436439E-3</v>
      </c>
      <c r="M9" s="4"/>
      <c r="AM9" s="9">
        <v>0.57166183010000005</v>
      </c>
      <c r="AN9" s="5"/>
      <c r="AO9" s="5">
        <v>-0.86640603100000002</v>
      </c>
      <c r="AP9" s="6"/>
      <c r="AQ9" s="10">
        <f t="shared" si="4"/>
        <v>-0.9901783211428572</v>
      </c>
      <c r="AR9" s="7"/>
      <c r="AS9" s="3">
        <f t="shared" si="6"/>
        <v>83.041664569503652</v>
      </c>
      <c r="AT9" s="28">
        <v>3.1380537260000002E-4</v>
      </c>
      <c r="AU9" s="5">
        <v>0.13289977489999999</v>
      </c>
      <c r="AV9" s="8">
        <v>-9.3313065909999995E-4</v>
      </c>
      <c r="CE9" s="5">
        <v>0.61637954689999996</v>
      </c>
      <c r="CF9" s="9">
        <v>0.68535846680000001</v>
      </c>
      <c r="CG9" s="2">
        <f t="shared" si="0"/>
        <v>89.537521811135591</v>
      </c>
      <c r="CH9" s="2">
        <f t="shared" si="1"/>
        <v>99.557649143583959</v>
      </c>
      <c r="CI9" s="5">
        <v>-0.86093167059999998</v>
      </c>
      <c r="CJ9" s="20">
        <f t="shared" si="5"/>
        <v>-0.98430971659869149</v>
      </c>
    </row>
    <row r="10" spans="1:88" x14ac:dyDescent="0.25">
      <c r="A10" s="5">
        <v>0.61637954689999996</v>
      </c>
      <c r="B10" s="5"/>
      <c r="C10" s="5">
        <v>-0.86093167059999998</v>
      </c>
      <c r="D10" s="6"/>
      <c r="E10" s="10">
        <f t="shared" si="2"/>
        <v>-0.98392190925714285</v>
      </c>
      <c r="F10" s="7"/>
      <c r="G10" s="3">
        <f t="shared" si="3"/>
        <v>89.537521811135591</v>
      </c>
      <c r="H10" s="25">
        <v>1.006238337E-3</v>
      </c>
      <c r="I10" s="5">
        <v>0.2749432316</v>
      </c>
      <c r="J10" s="8">
        <v>-2.820590874E-3</v>
      </c>
      <c r="M10" s="4"/>
      <c r="AM10" s="9">
        <v>0.68535846680000001</v>
      </c>
      <c r="AN10" s="5"/>
      <c r="AO10" s="5">
        <v>-0.86093167059999998</v>
      </c>
      <c r="AP10" s="6"/>
      <c r="AQ10" s="10">
        <f t="shared" si="4"/>
        <v>-0.98392190925714285</v>
      </c>
      <c r="AR10" s="7"/>
      <c r="AS10" s="3">
        <f t="shared" si="6"/>
        <v>99.557649143583959</v>
      </c>
      <c r="AT10" s="28">
        <v>5.5198500089999997E-4</v>
      </c>
      <c r="AU10" s="5">
        <v>0.24153755269999999</v>
      </c>
      <c r="AV10" s="8">
        <v>-2.4829398410000001E-3</v>
      </c>
      <c r="CE10" s="5">
        <v>0.71103532319999996</v>
      </c>
      <c r="CF10" s="9">
        <v>0.78780333550000003</v>
      </c>
      <c r="CG10" s="2">
        <f t="shared" si="0"/>
        <v>103.2875621517607</v>
      </c>
      <c r="CH10" s="2">
        <f t="shared" si="1"/>
        <v>114.43916121159118</v>
      </c>
      <c r="CI10" s="5">
        <v>-0.85411690829999998</v>
      </c>
      <c r="CJ10" s="20">
        <f t="shared" si="5"/>
        <v>-0.97651834711227725</v>
      </c>
    </row>
    <row r="11" spans="1:88" x14ac:dyDescent="0.25">
      <c r="A11" s="5">
        <v>0.71103532319999996</v>
      </c>
      <c r="B11" s="5"/>
      <c r="C11" s="5">
        <v>-0.85411690829999998</v>
      </c>
      <c r="D11" s="6"/>
      <c r="E11" s="10">
        <f t="shared" si="2"/>
        <v>-0.97613360948571426</v>
      </c>
      <c r="F11" s="7"/>
      <c r="G11" s="3">
        <f t="shared" si="3"/>
        <v>103.2875621517607</v>
      </c>
      <c r="H11" s="25">
        <v>1.5973435559999999E-3</v>
      </c>
      <c r="I11" s="5">
        <v>0.44848310790000001</v>
      </c>
      <c r="J11" s="8">
        <v>-6.321623912E-3</v>
      </c>
      <c r="M11" s="4"/>
      <c r="AM11" s="9">
        <v>0.78780333550000003</v>
      </c>
      <c r="AN11" s="5"/>
      <c r="AO11" s="5">
        <v>-0.85411690829999998</v>
      </c>
      <c r="AP11" s="6"/>
      <c r="AQ11" s="10">
        <f t="shared" si="4"/>
        <v>-0.97613360948571426</v>
      </c>
      <c r="AR11" s="7"/>
      <c r="AS11" s="3">
        <f t="shared" si="6"/>
        <v>114.43916121159118</v>
      </c>
      <c r="AT11" s="28">
        <v>8.7346443140000004E-4</v>
      </c>
      <c r="AU11" s="5">
        <v>0.3925548244</v>
      </c>
      <c r="AV11" s="8">
        <v>-5.5473750120000002E-3</v>
      </c>
      <c r="CE11" s="5">
        <v>0.79620138370000004</v>
      </c>
      <c r="CF11" s="9">
        <v>0.87912693880000004</v>
      </c>
      <c r="CG11" s="2">
        <f t="shared" si="0"/>
        <v>115.65909206046548</v>
      </c>
      <c r="CH11" s="2">
        <f t="shared" si="1"/>
        <v>127.70515805309871</v>
      </c>
      <c r="CI11" s="5">
        <v>-0.84598042299999998</v>
      </c>
      <c r="CJ11" s="20">
        <f t="shared" si="5"/>
        <v>-0.96721584168327979</v>
      </c>
    </row>
    <row r="12" spans="1:88" x14ac:dyDescent="0.25">
      <c r="A12" s="5">
        <v>0.79620138370000004</v>
      </c>
      <c r="B12" s="5"/>
      <c r="C12" s="5">
        <v>-0.84598042299999998</v>
      </c>
      <c r="D12" s="6"/>
      <c r="E12" s="10">
        <f t="shared" si="2"/>
        <v>-0.96683476914285715</v>
      </c>
      <c r="F12" s="7"/>
      <c r="G12" s="3">
        <f t="shared" si="3"/>
        <v>115.65909206046548</v>
      </c>
      <c r="H12" s="25">
        <v>2.3589428319999999E-3</v>
      </c>
      <c r="I12" s="5">
        <v>0.67684292560000003</v>
      </c>
      <c r="J12" s="8">
        <v>-1.2531621979999999E-2</v>
      </c>
      <c r="K12" s="4"/>
      <c r="M12" s="4"/>
      <c r="AM12" s="9">
        <v>0.87912693880000004</v>
      </c>
      <c r="AN12" s="5"/>
      <c r="AO12" s="5">
        <v>-0.84598042299999998</v>
      </c>
      <c r="AP12" s="6"/>
      <c r="AQ12" s="10">
        <f t="shared" si="4"/>
        <v>-0.96683476914285715</v>
      </c>
      <c r="AR12" s="7"/>
      <c r="AS12" s="3">
        <f t="shared" si="6"/>
        <v>127.70515805309871</v>
      </c>
      <c r="AT12" s="28">
        <v>1.2854225189999999E-3</v>
      </c>
      <c r="AU12" s="5">
        <v>0.59045479460000005</v>
      </c>
      <c r="AV12" s="5">
        <v>-1.096476654E-2</v>
      </c>
      <c r="CE12" s="5">
        <v>0.87210618600000001</v>
      </c>
      <c r="CF12" s="9">
        <v>0.9597403175</v>
      </c>
      <c r="CG12" s="2">
        <f t="shared" si="0"/>
        <v>126.68529811432859</v>
      </c>
      <c r="CH12" s="2">
        <f t="shared" si="1"/>
        <v>139.4153489410381</v>
      </c>
      <c r="CI12" s="5">
        <v>-0.83654451620000003</v>
      </c>
      <c r="CJ12" s="20">
        <f t="shared" si="5"/>
        <v>-0.95642769778599845</v>
      </c>
    </row>
    <row r="13" spans="1:88" x14ac:dyDescent="0.25">
      <c r="A13" s="5">
        <v>0.87210618600000001</v>
      </c>
      <c r="B13" s="6"/>
      <c r="C13" s="5">
        <v>-0.83654451620000003</v>
      </c>
      <c r="D13" s="6"/>
      <c r="E13" s="10">
        <f t="shared" si="2"/>
        <v>-0.95605087565714286</v>
      </c>
      <c r="F13" s="7"/>
      <c r="G13" s="3">
        <f t="shared" si="3"/>
        <v>126.68529811432859</v>
      </c>
      <c r="H13" s="25">
        <v>3.3058759419999999E-3</v>
      </c>
      <c r="I13" s="5">
        <v>0.9649113695</v>
      </c>
      <c r="J13" s="5">
        <v>-2.268090583E-2</v>
      </c>
      <c r="K13" s="4"/>
      <c r="AM13" s="9">
        <v>0.9597403175</v>
      </c>
      <c r="AN13" s="6"/>
      <c r="AO13" s="5">
        <v>-0.83654451620000003</v>
      </c>
      <c r="AP13" s="6"/>
      <c r="AQ13" s="10">
        <f t="shared" si="4"/>
        <v>-0.95605087565714286</v>
      </c>
      <c r="AR13" s="7"/>
      <c r="AS13" s="3">
        <f t="shared" si="6"/>
        <v>139.4153489410381</v>
      </c>
      <c r="AT13" s="28">
        <v>1.7952598409999999E-3</v>
      </c>
      <c r="AU13" s="5">
        <v>0.8391429359</v>
      </c>
      <c r="AV13" s="5">
        <v>-1.9791172900000001E-2</v>
      </c>
      <c r="CE13" s="5">
        <v>0.93914784470000001</v>
      </c>
      <c r="CF13" s="9">
        <v>1.030240566</v>
      </c>
      <c r="CG13" s="2">
        <f t="shared" si="0"/>
        <v>136.42401187972845</v>
      </c>
      <c r="CH13" s="2">
        <f t="shared" si="1"/>
        <v>149.65646996704666</v>
      </c>
      <c r="CI13" s="5">
        <v>-0.82583505099999999</v>
      </c>
      <c r="CJ13" s="20">
        <f t="shared" si="5"/>
        <v>-0.94418348489905812</v>
      </c>
    </row>
    <row r="14" spans="1:88" x14ac:dyDescent="0.25">
      <c r="A14" s="5">
        <v>0.93914784470000001</v>
      </c>
      <c r="B14" s="6"/>
      <c r="C14" s="5">
        <v>-0.82583505099999999</v>
      </c>
      <c r="D14" s="5"/>
      <c r="E14" s="10">
        <f t="shared" si="2"/>
        <v>-0.94381148685714289</v>
      </c>
      <c r="F14" s="7"/>
      <c r="G14" s="3">
        <f t="shared" si="3"/>
        <v>136.42401187972845</v>
      </c>
      <c r="H14" s="25">
        <v>4.4540460560000003E-3</v>
      </c>
      <c r="I14" s="5">
        <v>1.3170304660000001</v>
      </c>
      <c r="J14" s="5">
        <v>-3.8265248389999999E-2</v>
      </c>
      <c r="K14" s="4"/>
      <c r="AM14" s="9">
        <v>1.030240566</v>
      </c>
      <c r="AN14" s="6"/>
      <c r="AO14" s="5">
        <v>-0.82583505099999999</v>
      </c>
      <c r="AP14" s="5"/>
      <c r="AQ14" s="10">
        <f t="shared" si="4"/>
        <v>-0.94381148685714289</v>
      </c>
      <c r="AR14" s="7"/>
      <c r="AS14" s="3">
        <f t="shared" si="6"/>
        <v>149.65646996704666</v>
      </c>
      <c r="AT14" s="28">
        <v>2.4110278300000002E-3</v>
      </c>
      <c r="AU14" s="5">
        <v>1.142042472</v>
      </c>
      <c r="AV14" s="5">
        <v>-3.3304893019999997E-2</v>
      </c>
      <c r="CE14" s="5">
        <v>0.99784338130000005</v>
      </c>
      <c r="CF14" s="9">
        <v>1.0913454069999999</v>
      </c>
      <c r="CG14" s="2">
        <f t="shared" si="0"/>
        <v>144.95033776930481</v>
      </c>
      <c r="CH14" s="2">
        <f t="shared" si="1"/>
        <v>158.53278012581171</v>
      </c>
      <c r="CI14" s="5">
        <v>-0.8138813815</v>
      </c>
      <c r="CJ14" s="20">
        <f t="shared" si="5"/>
        <v>-0.93051676378789328</v>
      </c>
    </row>
    <row r="15" spans="1:88" x14ac:dyDescent="0.25">
      <c r="A15" s="5">
        <v>0.99784338130000005</v>
      </c>
      <c r="B15" s="6"/>
      <c r="C15" s="5">
        <v>-0.8138813815</v>
      </c>
      <c r="D15" s="5"/>
      <c r="E15" s="10">
        <f t="shared" si="2"/>
        <v>-0.93015015028571424</v>
      </c>
      <c r="F15" s="7"/>
      <c r="G15" s="3">
        <f t="shared" si="3"/>
        <v>144.95033776930481</v>
      </c>
      <c r="H15" s="25">
        <v>5.8209167100000004E-3</v>
      </c>
      <c r="I15" s="5">
        <v>1.7370810839999999</v>
      </c>
      <c r="J15" s="5">
        <v>-6.1047220030000002E-2</v>
      </c>
      <c r="K15" s="4"/>
      <c r="AM15" s="9">
        <v>1.0913454069999999</v>
      </c>
      <c r="AN15" s="6"/>
      <c r="AO15" s="5">
        <v>-0.8138813815</v>
      </c>
      <c r="AP15" s="5"/>
      <c r="AQ15" s="10">
        <f t="shared" si="4"/>
        <v>-0.93015015028571424</v>
      </c>
      <c r="AR15" s="7"/>
      <c r="AS15" s="3">
        <f t="shared" si="6"/>
        <v>158.53278012581171</v>
      </c>
      <c r="AT15" s="28">
        <v>3.141668282E-3</v>
      </c>
      <c r="AU15" s="5">
        <v>1.502185946</v>
      </c>
      <c r="AV15" s="5">
        <v>-5.3006194219999997E-2</v>
      </c>
      <c r="CE15" s="5">
        <v>1.0487869679999999</v>
      </c>
      <c r="CF15" s="9">
        <v>1.1438395690000001</v>
      </c>
      <c r="CG15" s="2">
        <f t="shared" si="0"/>
        <v>152.35058738535628</v>
      </c>
      <c r="CH15" s="2">
        <f t="shared" si="1"/>
        <v>166.15827191682152</v>
      </c>
      <c r="CI15" s="5">
        <v>-0.80071627170000004</v>
      </c>
      <c r="CJ15" s="20">
        <f t="shared" si="5"/>
        <v>-0.91546499378250179</v>
      </c>
    </row>
    <row r="16" spans="1:88" x14ac:dyDescent="0.25">
      <c r="A16" s="5">
        <v>1.0487869679999999</v>
      </c>
      <c r="B16" s="6"/>
      <c r="C16" s="5">
        <v>-0.80071627170000004</v>
      </c>
      <c r="D16" s="5"/>
      <c r="E16" s="10">
        <f t="shared" si="2"/>
        <v>-0.91510431051428576</v>
      </c>
      <c r="F16" s="7"/>
      <c r="G16" s="3">
        <f t="shared" si="3"/>
        <v>152.35058738535628</v>
      </c>
      <c r="H16" s="25">
        <v>7.425777899E-3</v>
      </c>
      <c r="I16" s="5">
        <v>2.2285476809999998</v>
      </c>
      <c r="J16" s="5">
        <v>-9.3052036919999997E-2</v>
      </c>
      <c r="K16" s="4"/>
      <c r="AM16" s="9">
        <v>1.1438395690000001</v>
      </c>
      <c r="AN16" s="6"/>
      <c r="AO16" s="5">
        <v>-0.80071627170000004</v>
      </c>
      <c r="AP16" s="5"/>
      <c r="AQ16" s="10">
        <f t="shared" si="4"/>
        <v>-0.91510431051428576</v>
      </c>
      <c r="AR16" s="7"/>
      <c r="AS16" s="3">
        <f t="shared" si="6"/>
        <v>166.15827191682152</v>
      </c>
      <c r="AT16" s="28">
        <v>3.9971377870000003E-3</v>
      </c>
      <c r="AU16" s="5">
        <v>1.92228577</v>
      </c>
      <c r="AV16" s="5">
        <v>-8.0612695339999998E-2</v>
      </c>
      <c r="CE16" s="5">
        <v>1.0926144630000001</v>
      </c>
      <c r="CF16" s="9">
        <v>1.188531512</v>
      </c>
      <c r="CG16" s="2">
        <f t="shared" si="0"/>
        <v>158.71712778927824</v>
      </c>
      <c r="CH16" s="2">
        <f t="shared" si="1"/>
        <v>172.6503851630674</v>
      </c>
      <c r="CI16" s="5">
        <v>-0.78637580630000004</v>
      </c>
      <c r="CJ16" s="20">
        <f t="shared" si="5"/>
        <v>-0.89906943079440782</v>
      </c>
    </row>
    <row r="17" spans="1:88" x14ac:dyDescent="0.25">
      <c r="A17" s="5">
        <v>1.0926144630000001</v>
      </c>
      <c r="B17" s="6"/>
      <c r="C17" s="5">
        <v>-0.78637580630000004</v>
      </c>
      <c r="D17" s="5"/>
      <c r="E17" s="10">
        <f t="shared" si="2"/>
        <v>-0.89871520720000009</v>
      </c>
      <c r="F17" s="7"/>
      <c r="G17" s="3">
        <f t="shared" si="3"/>
        <v>158.71712778927824</v>
      </c>
      <c r="H17" s="25">
        <v>9.2898586649999993E-3</v>
      </c>
      <c r="I17" s="5">
        <v>2.7945644129999998</v>
      </c>
      <c r="J17" s="5">
        <v>-0.1365581682</v>
      </c>
      <c r="K17" s="4"/>
      <c r="AM17" s="9">
        <v>1.188531512</v>
      </c>
      <c r="AN17" s="6"/>
      <c r="AO17" s="5">
        <v>-0.78637580630000004</v>
      </c>
      <c r="AP17" s="5"/>
      <c r="AQ17" s="10">
        <f t="shared" si="4"/>
        <v>-0.89871520720000009</v>
      </c>
      <c r="AR17" s="7"/>
      <c r="AS17" s="3">
        <f t="shared" si="6"/>
        <v>172.6503851630674</v>
      </c>
      <c r="AT17" s="28">
        <v>4.9884595300000003E-3</v>
      </c>
      <c r="AU17" s="5">
        <v>2.4047839280000001</v>
      </c>
      <c r="AV17" s="5">
        <v>-0.11805067480000001</v>
      </c>
      <c r="CE17" s="5">
        <v>1.129974442</v>
      </c>
      <c r="CF17" s="9">
        <v>1.2262203190000001</v>
      </c>
      <c r="CG17" s="2">
        <f t="shared" si="0"/>
        <v>164.14417343250227</v>
      </c>
      <c r="CH17" s="2">
        <f t="shared" si="1"/>
        <v>178.12519755061354</v>
      </c>
      <c r="CI17" s="5">
        <v>-0.77089929150000003</v>
      </c>
      <c r="CJ17" s="20">
        <f t="shared" si="5"/>
        <v>-0.88137501390054818</v>
      </c>
    </row>
    <row r="18" spans="1:88" x14ac:dyDescent="0.25">
      <c r="A18" s="5">
        <v>1.129974442</v>
      </c>
      <c r="B18" s="6"/>
      <c r="C18" s="5">
        <v>-0.77089929150000003</v>
      </c>
      <c r="D18" s="5"/>
      <c r="E18" s="10">
        <f t="shared" si="2"/>
        <v>-0.88102776171428576</v>
      </c>
      <c r="F18" s="7"/>
      <c r="G18" s="3">
        <f t="shared" si="3"/>
        <v>164.14417343250227</v>
      </c>
      <c r="H18" s="25">
        <v>1.1436331900000001E-2</v>
      </c>
      <c r="I18" s="5">
        <v>3.4379433659999998</v>
      </c>
      <c r="J18" s="5">
        <v>-0.19408284140000001</v>
      </c>
      <c r="K18" s="4"/>
      <c r="AM18" s="9">
        <v>1.2262203190000001</v>
      </c>
      <c r="AN18" s="6"/>
      <c r="AO18" s="5">
        <v>-0.77089929150000003</v>
      </c>
      <c r="AP18" s="5"/>
      <c r="AQ18" s="10">
        <f t="shared" si="4"/>
        <v>-0.88102776171428576</v>
      </c>
      <c r="AR18" s="7"/>
      <c r="AS18" s="3">
        <f t="shared" si="6"/>
        <v>178.12519755061354</v>
      </c>
      <c r="AT18" s="28">
        <v>6.1277239420000004E-3</v>
      </c>
      <c r="AU18" s="5">
        <v>2.954875457</v>
      </c>
      <c r="AV18" s="5">
        <v>-0.1674925146</v>
      </c>
      <c r="CE18" s="5">
        <v>1.161505808</v>
      </c>
      <c r="CF18" s="9">
        <v>1.257672015</v>
      </c>
      <c r="CG18" s="2">
        <f t="shared" si="0"/>
        <v>168.72453367508174</v>
      </c>
      <c r="CH18" s="2">
        <f t="shared" si="1"/>
        <v>182.69398464090625</v>
      </c>
      <c r="CI18" s="5">
        <v>-0.75432914750000002</v>
      </c>
      <c r="CJ18" s="20">
        <f t="shared" si="5"/>
        <v>-0.86243024243770638</v>
      </c>
    </row>
    <row r="19" spans="1:88" x14ac:dyDescent="0.25">
      <c r="A19" s="5">
        <v>1.161505808</v>
      </c>
      <c r="B19" s="6"/>
      <c r="C19" s="5">
        <v>-0.75432914750000002</v>
      </c>
      <c r="D19" s="5"/>
      <c r="E19" s="10">
        <f t="shared" si="2"/>
        <v>-0.86209045428571429</v>
      </c>
      <c r="F19" s="7"/>
      <c r="G19" s="3">
        <f t="shared" si="3"/>
        <v>168.72453367508174</v>
      </c>
      <c r="H19" s="25">
        <v>1.3890235399999999E-2</v>
      </c>
      <c r="I19" s="5">
        <v>4.1611859280000001</v>
      </c>
      <c r="J19" s="5">
        <v>-0.2683624919</v>
      </c>
      <c r="K19" s="4"/>
      <c r="AM19" s="9">
        <v>1.257672015</v>
      </c>
      <c r="AN19" s="6"/>
      <c r="AO19" s="5">
        <v>-0.75432914750000002</v>
      </c>
      <c r="AP19" s="5"/>
      <c r="AQ19" s="10">
        <f t="shared" si="4"/>
        <v>-0.86209045428571429</v>
      </c>
      <c r="AR19" s="7"/>
      <c r="AS19" s="3">
        <f t="shared" si="6"/>
        <v>182.69398464090625</v>
      </c>
      <c r="AT19" s="28">
        <v>7.4280473290000001E-3</v>
      </c>
      <c r="AU19" s="5">
        <v>3.5760301499999998</v>
      </c>
      <c r="AV19" s="5">
        <v>-0.23132678549999999</v>
      </c>
      <c r="CE19" s="5">
        <v>1.187821542</v>
      </c>
      <c r="CF19" s="9">
        <v>1.283603957</v>
      </c>
      <c r="CG19" s="2">
        <f t="shared" si="0"/>
        <v>172.54725235361587</v>
      </c>
      <c r="CH19" s="2">
        <f t="shared" si="1"/>
        <v>186.46095230572851</v>
      </c>
      <c r="CI19" s="5">
        <v>-0.73671079169999998</v>
      </c>
      <c r="CJ19" s="20">
        <f t="shared" si="5"/>
        <v>-0.84228704246418584</v>
      </c>
    </row>
    <row r="20" spans="1:88" x14ac:dyDescent="0.25">
      <c r="A20" s="5">
        <v>1.187821542</v>
      </c>
      <c r="B20" s="6"/>
      <c r="C20" s="5">
        <v>-0.73671079169999998</v>
      </c>
      <c r="D20" s="5"/>
      <c r="E20" s="10">
        <f t="shared" si="2"/>
        <v>-0.84195519051428569</v>
      </c>
      <c r="F20" s="7"/>
      <c r="G20" s="3">
        <f t="shared" si="3"/>
        <v>172.54725235361587</v>
      </c>
      <c r="H20" s="25">
        <v>1.6678319699999999E-2</v>
      </c>
      <c r="I20" s="5">
        <v>4.966479069</v>
      </c>
      <c r="J20" s="5">
        <v>-0.3623281431</v>
      </c>
      <c r="K20" s="4"/>
      <c r="AM20" s="9">
        <v>1.283603957</v>
      </c>
      <c r="AN20" s="6"/>
      <c r="AO20" s="5">
        <v>-0.73671079169999998</v>
      </c>
      <c r="AP20" s="5"/>
      <c r="AQ20" s="10">
        <f t="shared" si="4"/>
        <v>-0.84195519051428569</v>
      </c>
      <c r="AR20" s="7"/>
      <c r="AS20" s="3">
        <f t="shared" si="6"/>
        <v>186.46095230572851</v>
      </c>
      <c r="AT20" s="28">
        <v>8.9034916330000009E-3</v>
      </c>
      <c r="AU20" s="5">
        <v>4.2701240680000003</v>
      </c>
      <c r="AV20" s="5">
        <v>-0.31211741869999998</v>
      </c>
      <c r="CE20" s="5">
        <v>1.2094978110000001</v>
      </c>
      <c r="CF20" s="9">
        <v>1.304675759</v>
      </c>
      <c r="CG20" s="2">
        <f t="shared" si="0"/>
        <v>175.6960255699446</v>
      </c>
      <c r="CH20" s="2">
        <f t="shared" si="1"/>
        <v>189.52191845988455</v>
      </c>
      <c r="CI20" s="5">
        <v>-0.71809251480000003</v>
      </c>
      <c r="CJ20" s="20">
        <f t="shared" si="5"/>
        <v>-0.82100062510399852</v>
      </c>
    </row>
    <row r="21" spans="1:88" x14ac:dyDescent="0.25">
      <c r="A21" s="5">
        <v>1.2094978110000001</v>
      </c>
      <c r="B21" s="6"/>
      <c r="C21" s="5">
        <v>-0.71809251480000003</v>
      </c>
      <c r="D21" s="5"/>
      <c r="E21" s="10">
        <f t="shared" si="2"/>
        <v>-0.82067715977142863</v>
      </c>
      <c r="F21" s="7"/>
      <c r="G21" s="3">
        <f t="shared" si="3"/>
        <v>175.6960255699446</v>
      </c>
      <c r="H21" s="25">
        <v>1.9828826130000001E-2</v>
      </c>
      <c r="I21" s="5">
        <v>5.8556790960000002</v>
      </c>
      <c r="J21" s="5">
        <v>-0.47907569690000001</v>
      </c>
      <c r="K21" s="4"/>
      <c r="AM21" s="9">
        <v>1.304675759</v>
      </c>
      <c r="AN21" s="6"/>
      <c r="AO21" s="5">
        <v>-0.71809251480000003</v>
      </c>
      <c r="AP21" s="5"/>
      <c r="AQ21" s="10">
        <f t="shared" si="4"/>
        <v>-0.82067715977142863</v>
      </c>
      <c r="AR21" s="7"/>
      <c r="AS21" s="3">
        <f t="shared" si="6"/>
        <v>189.52191845988455</v>
      </c>
      <c r="AT21" s="28">
        <v>1.056894643E-2</v>
      </c>
      <c r="AU21" s="5">
        <v>5.0386442149999997</v>
      </c>
      <c r="AV21" s="5">
        <v>-0.41257534629999998</v>
      </c>
      <c r="CE21" s="5">
        <v>1.227067476</v>
      </c>
      <c r="CF21" s="9">
        <v>1.321485187</v>
      </c>
      <c r="CG21" s="2">
        <f t="shared" si="0"/>
        <v>178.24825863975323</v>
      </c>
      <c r="CH21" s="2">
        <f t="shared" si="1"/>
        <v>191.96371675405621</v>
      </c>
      <c r="CI21" s="5">
        <v>-0.69852534840000002</v>
      </c>
      <c r="CJ21" s="20">
        <f t="shared" si="5"/>
        <v>-0.79862933517293966</v>
      </c>
    </row>
    <row r="22" spans="1:88" x14ac:dyDescent="0.25">
      <c r="A22" s="5">
        <v>1.227067476</v>
      </c>
      <c r="B22" s="6"/>
      <c r="C22" s="5">
        <v>-0.69852534840000002</v>
      </c>
      <c r="D22" s="5"/>
      <c r="E22" s="10">
        <f t="shared" si="2"/>
        <v>-0.79831468388571436</v>
      </c>
      <c r="F22" s="7"/>
      <c r="G22" s="3">
        <f t="shared" si="3"/>
        <v>178.24825863975323</v>
      </c>
      <c r="H22" s="25">
        <v>2.3371196059999998E-2</v>
      </c>
      <c r="I22" s="5">
        <v>6.8302858219999996</v>
      </c>
      <c r="J22" s="5">
        <v>-0.62183115030000002</v>
      </c>
      <c r="K22" s="4"/>
      <c r="AM22" s="9">
        <v>1.321485187</v>
      </c>
      <c r="AN22" s="6"/>
      <c r="AO22" s="5">
        <v>-0.69852534840000002</v>
      </c>
      <c r="AP22" s="5"/>
      <c r="AQ22" s="10">
        <f t="shared" si="4"/>
        <v>-0.79831468388571436</v>
      </c>
      <c r="AR22" s="7"/>
      <c r="AS22" s="3">
        <f t="shared" si="6"/>
        <v>191.96371675405621</v>
      </c>
      <c r="AT22" s="28">
        <v>1.243997388E-2</v>
      </c>
      <c r="AU22" s="5">
        <v>5.8826746019999998</v>
      </c>
      <c r="AV22" s="5">
        <v>-0.53552538110000003</v>
      </c>
      <c r="CE22" s="5">
        <v>1.2410170309999999</v>
      </c>
      <c r="CF22" s="9">
        <v>1.3345676630000001</v>
      </c>
      <c r="CG22" s="2">
        <f t="shared" si="0"/>
        <v>180.2746214406441</v>
      </c>
      <c r="CH22" s="2">
        <f t="shared" si="1"/>
        <v>193.86412452404943</v>
      </c>
      <c r="CI22" s="5">
        <v>-0.67806292459999995</v>
      </c>
      <c r="CJ22" s="20">
        <f t="shared" si="5"/>
        <v>-0.77523449065820194</v>
      </c>
    </row>
    <row r="23" spans="1:88" x14ac:dyDescent="0.25">
      <c r="A23" s="5">
        <v>1.2410170309999999</v>
      </c>
      <c r="B23" s="6"/>
      <c r="C23" s="5">
        <v>-0.67806292459999995</v>
      </c>
      <c r="D23" s="5"/>
      <c r="E23" s="10">
        <f t="shared" si="2"/>
        <v>-0.77492905668571421</v>
      </c>
      <c r="F23" s="7"/>
      <c r="G23" s="3">
        <f t="shared" si="3"/>
        <v>180.2746214406441</v>
      </c>
      <c r="H23" s="25">
        <v>2.733571139E-2</v>
      </c>
      <c r="I23" s="5">
        <v>7.8941766500000004</v>
      </c>
      <c r="J23" s="5">
        <v>-0.79397115460000001</v>
      </c>
      <c r="K23" s="4"/>
      <c r="AM23" s="9">
        <v>1.3345676630000001</v>
      </c>
      <c r="AN23" s="6"/>
      <c r="AO23" s="5">
        <v>-0.67806292459999995</v>
      </c>
      <c r="AP23" s="5"/>
      <c r="AQ23" s="10">
        <f t="shared" si="4"/>
        <v>-0.77492905668571421</v>
      </c>
      <c r="AR23" s="7"/>
      <c r="AS23" s="3">
        <f t="shared" si="6"/>
        <v>193.86412452404943</v>
      </c>
      <c r="AT23" s="28">
        <v>1.453261743E-2</v>
      </c>
      <c r="AU23" s="5">
        <v>6.802877928</v>
      </c>
      <c r="AV23" s="5">
        <v>-0.68386858240000004</v>
      </c>
      <c r="CE23" s="5">
        <v>1.251786091</v>
      </c>
      <c r="CF23" s="9">
        <v>1.344398269</v>
      </c>
      <c r="CG23" s="2">
        <f t="shared" si="0"/>
        <v>181.83897403716509</v>
      </c>
      <c r="CH23" s="2">
        <f t="shared" si="1"/>
        <v>195.29215389908072</v>
      </c>
      <c r="CI23" s="5">
        <v>-0.65676132949999999</v>
      </c>
      <c r="CJ23" s="20">
        <f t="shared" si="5"/>
        <v>-0.75088021522381299</v>
      </c>
    </row>
    <row r="24" spans="1:88" x14ac:dyDescent="0.25">
      <c r="A24" s="5">
        <v>1.251786091</v>
      </c>
      <c r="B24" s="6"/>
      <c r="C24" s="5">
        <v>-0.65676132949999999</v>
      </c>
      <c r="D24" s="5"/>
      <c r="E24" s="10">
        <f t="shared" si="2"/>
        <v>-0.75058437657142851</v>
      </c>
      <c r="F24" s="7"/>
      <c r="G24" s="3">
        <f t="shared" si="3"/>
        <v>181.83897403716509</v>
      </c>
      <c r="H24" s="25">
        <v>3.1753066920000003E-2</v>
      </c>
      <c r="I24" s="5">
        <v>9.0478829869999995</v>
      </c>
      <c r="J24" s="5">
        <v>-0.99892166540000005</v>
      </c>
      <c r="K24" s="4"/>
      <c r="AM24" s="9">
        <v>1.344398269</v>
      </c>
      <c r="AN24" s="6"/>
      <c r="AO24" s="5">
        <v>-0.65676132949999999</v>
      </c>
      <c r="AP24" s="5"/>
      <c r="AQ24" s="10">
        <f t="shared" si="4"/>
        <v>-0.75058437657142851</v>
      </c>
      <c r="AR24" s="7"/>
      <c r="AS24" s="3">
        <f t="shared" si="6"/>
        <v>195.29215389908072</v>
      </c>
      <c r="AT24" s="28">
        <v>1.686317516E-2</v>
      </c>
      <c r="AU24" s="5">
        <v>7.7994746839999998</v>
      </c>
      <c r="AV24" s="5">
        <v>-0.86054044289999998</v>
      </c>
      <c r="CE24" s="5">
        <v>1.259768676</v>
      </c>
      <c r="CF24" s="9">
        <v>1.351395355</v>
      </c>
      <c r="CG24" s="2">
        <f t="shared" si="0"/>
        <v>182.99855319929242</v>
      </c>
      <c r="CH24" s="2">
        <f t="shared" si="1"/>
        <v>196.30857591290371</v>
      </c>
      <c r="CI24" s="5">
        <v>-0.63467894930000002</v>
      </c>
      <c r="CJ24" s="20">
        <f t="shared" si="5"/>
        <v>-0.72563326225559621</v>
      </c>
    </row>
    <row r="25" spans="1:88" x14ac:dyDescent="0.25">
      <c r="A25" s="5">
        <v>1.259768676</v>
      </c>
      <c r="B25" s="6"/>
      <c r="C25" s="5">
        <v>-0.63467894930000002</v>
      </c>
      <c r="D25" s="5"/>
      <c r="E25" s="10">
        <f t="shared" si="2"/>
        <v>-0.72534737062857146</v>
      </c>
      <c r="F25" s="7"/>
      <c r="G25" s="3">
        <f t="shared" si="3"/>
        <v>182.99855319929242</v>
      </c>
      <c r="H25" s="25">
        <v>3.6653875379999999E-2</v>
      </c>
      <c r="I25" s="5">
        <v>10.291184940000001</v>
      </c>
      <c r="J25" s="5">
        <v>-1.2401006619999999</v>
      </c>
      <c r="K25" s="4"/>
      <c r="AM25" s="9">
        <v>1.351395355</v>
      </c>
      <c r="AN25" s="6"/>
      <c r="AO25" s="5">
        <v>-0.63467894930000002</v>
      </c>
      <c r="AP25" s="5"/>
      <c r="AQ25" s="10">
        <f t="shared" si="4"/>
        <v>-0.72534737062857146</v>
      </c>
      <c r="AR25" s="7"/>
      <c r="AS25" s="3">
        <f t="shared" si="6"/>
        <v>196.30857591290371</v>
      </c>
      <c r="AT25" s="28">
        <v>1.9447938750000001E-2</v>
      </c>
      <c r="AU25" s="5">
        <v>8.8722212779999996</v>
      </c>
      <c r="AV25" s="5">
        <v>-1.0684653260000001</v>
      </c>
      <c r="CE25" s="5">
        <v>1.265315674</v>
      </c>
      <c r="CF25" s="9">
        <v>1.3559250629999999</v>
      </c>
      <c r="CG25" s="2">
        <f t="shared" si="0"/>
        <v>183.80433018671721</v>
      </c>
      <c r="CH25" s="2">
        <f t="shared" si="1"/>
        <v>196.96657767640781</v>
      </c>
      <c r="CI25" s="5">
        <v>-0.6118763102</v>
      </c>
      <c r="CJ25" s="20">
        <f t="shared" si="5"/>
        <v>-0.69956283181762535</v>
      </c>
    </row>
    <row r="26" spans="1:88" x14ac:dyDescent="0.25">
      <c r="A26" s="5">
        <v>1.265315674</v>
      </c>
      <c r="B26" s="6"/>
      <c r="C26" s="5">
        <v>-0.6118763102</v>
      </c>
      <c r="D26" s="5"/>
      <c r="E26" s="10">
        <f t="shared" si="2"/>
        <v>-0.6992872116571428</v>
      </c>
      <c r="F26" s="7"/>
      <c r="G26" s="3">
        <f t="shared" si="3"/>
        <v>183.80433018671721</v>
      </c>
      <c r="H26" s="25">
        <v>4.2068105590000002E-2</v>
      </c>
      <c r="I26" s="5">
        <v>11.623285210000001</v>
      </c>
      <c r="J26" s="5">
        <v>-1.5208609719999999</v>
      </c>
      <c r="K26" s="4"/>
      <c r="AM26" s="9">
        <v>1.3559250629999999</v>
      </c>
      <c r="AN26" s="6"/>
      <c r="AO26" s="5">
        <v>-0.6118763102</v>
      </c>
      <c r="AP26" s="5"/>
      <c r="AQ26" s="10">
        <f t="shared" si="4"/>
        <v>-0.6992872116571428</v>
      </c>
      <c r="AR26" s="7"/>
      <c r="AS26" s="3">
        <f t="shared" si="6"/>
        <v>196.96657767640781</v>
      </c>
      <c r="AT26" s="28">
        <v>2.2302898370000001E-2</v>
      </c>
      <c r="AU26" s="5">
        <v>10.02038868</v>
      </c>
      <c r="AV26" s="5">
        <v>-1.310507691</v>
      </c>
      <c r="CE26" s="5">
        <v>1.2687379700000001</v>
      </c>
      <c r="CF26" s="9">
        <v>1.358306236</v>
      </c>
      <c r="CG26" s="2">
        <f t="shared" si="0"/>
        <v>184.30146527869954</v>
      </c>
      <c r="CH26" s="2">
        <f t="shared" si="1"/>
        <v>197.31247547670938</v>
      </c>
      <c r="CI26" s="5">
        <v>-0.58841591280000005</v>
      </c>
      <c r="CJ26" s="20">
        <f t="shared" si="5"/>
        <v>-0.67274038132048763</v>
      </c>
    </row>
    <row r="27" spans="1:88" x14ac:dyDescent="0.25">
      <c r="A27" s="5">
        <v>1.2687379700000001</v>
      </c>
      <c r="B27" s="6"/>
      <c r="C27" s="5">
        <v>-0.58841591280000005</v>
      </c>
      <c r="D27" s="5"/>
      <c r="E27" s="10">
        <f t="shared" si="2"/>
        <v>-0.67247532891428574</v>
      </c>
      <c r="F27" s="7"/>
      <c r="G27" s="3">
        <f t="shared" si="3"/>
        <v>184.30146527869954</v>
      </c>
      <c r="H27" s="25">
        <v>4.8024452619999998E-2</v>
      </c>
      <c r="I27" s="5">
        <v>13.042791080000001</v>
      </c>
      <c r="J27" s="5">
        <v>-1.8444301169999999</v>
      </c>
      <c r="K27" s="4"/>
      <c r="AM27" s="9">
        <v>1.358306236</v>
      </c>
      <c r="AN27" s="6"/>
      <c r="AO27" s="5">
        <v>-0.58841591280000005</v>
      </c>
      <c r="AP27" s="5"/>
      <c r="AQ27" s="10">
        <f t="shared" si="4"/>
        <v>-0.67247532891428574</v>
      </c>
      <c r="AR27" s="7"/>
      <c r="AS27" s="3">
        <f t="shared" si="6"/>
        <v>197.31247547670938</v>
      </c>
      <c r="AT27" s="28">
        <v>2.544341348E-2</v>
      </c>
      <c r="AU27" s="5">
        <v>11.242742809999999</v>
      </c>
      <c r="AV27" s="5">
        <v>-1.589420743</v>
      </c>
      <c r="CE27" s="5">
        <v>1.270309812</v>
      </c>
      <c r="CF27" s="9">
        <v>1.3588152680000001</v>
      </c>
      <c r="CG27" s="2">
        <f t="shared" si="0"/>
        <v>184.52979673140021</v>
      </c>
      <c r="CH27" s="2">
        <f t="shared" si="1"/>
        <v>197.38641930568912</v>
      </c>
      <c r="CI27" s="5">
        <v>-0.56436206030000002</v>
      </c>
      <c r="CJ27" s="20">
        <f t="shared" si="5"/>
        <v>-0.64523942910103771</v>
      </c>
    </row>
    <row r="28" spans="1:88" x14ac:dyDescent="0.25">
      <c r="A28" s="5">
        <v>1.270309812</v>
      </c>
      <c r="B28" s="6"/>
      <c r="C28" s="5">
        <v>-0.56436206030000002</v>
      </c>
      <c r="D28" s="5"/>
      <c r="E28" s="10">
        <f t="shared" si="2"/>
        <v>-0.64498521177142865</v>
      </c>
      <c r="F28" s="7"/>
      <c r="G28" s="3">
        <f t="shared" si="3"/>
        <v>184.52979673140021</v>
      </c>
      <c r="H28" s="25">
        <v>5.4549634569999998E-2</v>
      </c>
      <c r="I28" s="5">
        <v>14.547699679999999</v>
      </c>
      <c r="J28" s="5">
        <v>-2.2138480610000002</v>
      </c>
      <c r="K28" s="4"/>
      <c r="AM28" s="9">
        <v>1.3588152680000001</v>
      </c>
      <c r="AN28" s="6"/>
      <c r="AO28" s="5">
        <v>-0.56436206030000002</v>
      </c>
      <c r="AP28" s="5"/>
      <c r="AQ28" s="10">
        <f t="shared" si="4"/>
        <v>-0.64498521177142865</v>
      </c>
      <c r="AR28" s="7"/>
      <c r="AS28" s="3">
        <f t="shared" si="6"/>
        <v>197.38641930568912</v>
      </c>
      <c r="AT28" s="28">
        <v>2.888384695E-2</v>
      </c>
      <c r="AU28" s="5">
        <v>12.53752768</v>
      </c>
      <c r="AV28" s="5">
        <v>-1.9077932559999999</v>
      </c>
      <c r="CE28" s="5">
        <v>1.270271989</v>
      </c>
      <c r="CF28" s="9">
        <v>1.3576904729999999</v>
      </c>
      <c r="CG28" s="2">
        <f t="shared" si="0"/>
        <v>184.52430242565225</v>
      </c>
      <c r="CH28" s="2">
        <f t="shared" si="1"/>
        <v>197.22302751673038</v>
      </c>
      <c r="CI28" s="5">
        <v>-0.53978068260000001</v>
      </c>
      <c r="CJ28" s="20">
        <f t="shared" si="5"/>
        <v>-0.61713535331459357</v>
      </c>
    </row>
    <row r="29" spans="1:88" x14ac:dyDescent="0.25">
      <c r="A29" s="5">
        <v>1.270271989</v>
      </c>
      <c r="B29" s="6"/>
      <c r="C29" s="5">
        <v>-0.53978068260000001</v>
      </c>
      <c r="D29" s="5"/>
      <c r="E29" s="10">
        <f t="shared" si="2"/>
        <v>-0.61689220868571426</v>
      </c>
      <c r="F29" s="7"/>
      <c r="G29" s="3">
        <f t="shared" si="3"/>
        <v>184.52430242565225</v>
      </c>
      <c r="H29" s="25">
        <v>6.1667601010000003E-2</v>
      </c>
      <c r="I29" s="5">
        <v>16.135387300000001</v>
      </c>
      <c r="J29" s="5">
        <v>-2.6319038680000002</v>
      </c>
      <c r="K29" s="4"/>
      <c r="AM29" s="9">
        <v>1.3576904729999999</v>
      </c>
      <c r="AN29" s="6"/>
      <c r="AO29" s="5">
        <v>-0.53978068260000001</v>
      </c>
      <c r="AP29" s="5"/>
      <c r="AQ29" s="10">
        <f t="shared" si="4"/>
        <v>-0.61689220868571426</v>
      </c>
      <c r="AR29" s="7"/>
      <c r="AS29" s="3">
        <f t="shared" si="6"/>
        <v>197.22302751673038</v>
      </c>
      <c r="AT29" s="28">
        <v>3.2637155760000001E-2</v>
      </c>
      <c r="AU29" s="5">
        <v>13.90245176</v>
      </c>
      <c r="AV29" s="5">
        <v>-2.2679953739999998</v>
      </c>
      <c r="CE29" s="5">
        <v>1.268834231</v>
      </c>
      <c r="CF29" s="9">
        <v>1.355135355</v>
      </c>
      <c r="CG29" s="2">
        <f t="shared" si="0"/>
        <v>184.31544849963933</v>
      </c>
      <c r="CH29" s="2">
        <f t="shared" si="1"/>
        <v>196.85186183674369</v>
      </c>
      <c r="CI29" s="5">
        <v>-0.51473915569999995</v>
      </c>
      <c r="CJ29" s="20">
        <f t="shared" si="5"/>
        <v>-0.58850518545358377</v>
      </c>
    </row>
    <row r="30" spans="1:88" x14ac:dyDescent="0.25">
      <c r="A30" s="5">
        <v>1.268834231</v>
      </c>
      <c r="B30" s="6"/>
      <c r="C30" s="5">
        <v>-0.51473915569999995</v>
      </c>
      <c r="D30" s="5"/>
      <c r="E30" s="10">
        <f t="shared" si="2"/>
        <v>-0.58827332079999994</v>
      </c>
      <c r="F30" s="7"/>
      <c r="G30" s="3">
        <f t="shared" si="3"/>
        <v>184.31544849963933</v>
      </c>
      <c r="H30" s="25">
        <v>6.9398616220000001E-2</v>
      </c>
      <c r="I30" s="5">
        <v>17.80260204</v>
      </c>
      <c r="J30" s="5">
        <v>-3.1010722780000002</v>
      </c>
      <c r="K30" s="4"/>
      <c r="AM30" s="9">
        <v>1.355135355</v>
      </c>
      <c r="AN30" s="6"/>
      <c r="AO30" s="5">
        <v>-0.51473915569999995</v>
      </c>
      <c r="AP30" s="5"/>
      <c r="AQ30" s="10">
        <f t="shared" si="4"/>
        <v>-0.58827332079999994</v>
      </c>
      <c r="AR30" s="7"/>
      <c r="AS30" s="3">
        <f t="shared" si="6"/>
        <v>196.85186183674369</v>
      </c>
      <c r="AT30" s="28">
        <v>3.6714420060000003E-2</v>
      </c>
      <c r="AU30" s="5">
        <v>15.33467739</v>
      </c>
      <c r="AV30" s="5">
        <v>-2.6721242869999999</v>
      </c>
      <c r="CE30" s="5">
        <v>1.266175687</v>
      </c>
      <c r="CF30" s="9">
        <v>1.3513195570000001</v>
      </c>
      <c r="CG30" s="2">
        <f t="shared" si="0"/>
        <v>183.92925878490422</v>
      </c>
      <c r="CH30" s="2">
        <f t="shared" si="1"/>
        <v>196.29756522133815</v>
      </c>
      <c r="CI30" s="5">
        <v>-0.48930611660000001</v>
      </c>
      <c r="CJ30" s="20">
        <f t="shared" si="5"/>
        <v>-0.55942739872131297</v>
      </c>
    </row>
    <row r="31" spans="1:88" x14ac:dyDescent="0.25">
      <c r="A31" s="5">
        <v>1.266175687</v>
      </c>
      <c r="B31" s="6"/>
      <c r="C31" s="5">
        <v>-0.48930611660000001</v>
      </c>
      <c r="D31" s="5"/>
      <c r="E31" s="10">
        <f t="shared" si="2"/>
        <v>-0.55920699039999999</v>
      </c>
      <c r="F31" s="7"/>
      <c r="G31" s="3">
        <f t="shared" si="3"/>
        <v>183.92925878490422</v>
      </c>
      <c r="H31" s="25">
        <v>7.7758129359999997E-2</v>
      </c>
      <c r="I31" s="5">
        <v>19.54545778</v>
      </c>
      <c r="J31" s="5">
        <v>-3.623451239</v>
      </c>
      <c r="K31" s="4"/>
      <c r="AM31" s="9">
        <v>1.3513195570000001</v>
      </c>
      <c r="AN31" s="6"/>
      <c r="AO31" s="5">
        <v>-0.48930611660000001</v>
      </c>
      <c r="AP31" s="5"/>
      <c r="AQ31" s="10">
        <f t="shared" si="4"/>
        <v>-0.55920699039999999</v>
      </c>
      <c r="AR31" s="7"/>
      <c r="AS31" s="3">
        <f t="shared" si="6"/>
        <v>196.29756522133815</v>
      </c>
      <c r="AT31" s="28">
        <v>4.1124266120000003E-2</v>
      </c>
      <c r="AU31" s="5">
        <v>16.83081129</v>
      </c>
      <c r="AV31" s="5">
        <v>-3.1219506259999998</v>
      </c>
      <c r="CE31" s="5">
        <v>1.262440528</v>
      </c>
      <c r="CF31" s="9">
        <v>1.3463742110000001</v>
      </c>
      <c r="CG31" s="2">
        <f t="shared" si="0"/>
        <v>183.38667608222926</v>
      </c>
      <c r="CH31" s="2">
        <f t="shared" si="1"/>
        <v>195.57918637900701</v>
      </c>
      <c r="CI31" s="5">
        <v>-0.46355127550000003</v>
      </c>
      <c r="CJ31" s="20">
        <f t="shared" si="5"/>
        <v>-0.52998169331879497</v>
      </c>
    </row>
    <row r="32" spans="1:88" x14ac:dyDescent="0.25">
      <c r="A32" s="5">
        <v>1.262440528</v>
      </c>
      <c r="B32" s="6"/>
      <c r="C32" s="5">
        <v>-0.46355127550000003</v>
      </c>
      <c r="D32" s="5"/>
      <c r="E32" s="10">
        <f t="shared" si="2"/>
        <v>-0.52977288628571428</v>
      </c>
      <c r="F32" s="7"/>
      <c r="G32" s="3">
        <f t="shared" si="3"/>
        <v>183.38667608222926</v>
      </c>
      <c r="H32" s="25">
        <v>8.6755211090000006E-2</v>
      </c>
      <c r="I32" s="5">
        <v>21.359421860000001</v>
      </c>
      <c r="J32" s="5">
        <v>-4.2007012240000003</v>
      </c>
      <c r="K32" s="4"/>
      <c r="AM32" s="9">
        <v>1.3463742110000001</v>
      </c>
      <c r="AN32" s="6"/>
      <c r="AO32" s="5">
        <v>-0.46355127550000003</v>
      </c>
      <c r="AP32" s="5"/>
      <c r="AQ32" s="10">
        <f t="shared" si="4"/>
        <v>-0.52977288628571428</v>
      </c>
      <c r="AR32" s="7"/>
      <c r="AS32" s="3">
        <f t="shared" si="6"/>
        <v>195.57918637900701</v>
      </c>
      <c r="AT32" s="28">
        <v>4.5872067789999998E-2</v>
      </c>
      <c r="AU32" s="5">
        <v>18.386889579999998</v>
      </c>
      <c r="AV32" s="5">
        <v>-3.6188663110000001</v>
      </c>
      <c r="CE32" s="5">
        <v>1.257718645</v>
      </c>
      <c r="CF32" s="9">
        <v>1.34037077</v>
      </c>
      <c r="CG32" s="2">
        <f t="shared" si="0"/>
        <v>182.70075828332034</v>
      </c>
      <c r="CH32" s="2">
        <f t="shared" si="1"/>
        <v>194.70710483090434</v>
      </c>
      <c r="CI32" s="5">
        <v>-0.4375452246</v>
      </c>
      <c r="CJ32" s="20">
        <f t="shared" si="5"/>
        <v>-0.50024877784434107</v>
      </c>
    </row>
    <row r="33" spans="1:88" x14ac:dyDescent="0.25">
      <c r="A33" s="5">
        <v>1.257718645</v>
      </c>
      <c r="B33" s="6"/>
      <c r="C33" s="5">
        <v>-0.4375452246</v>
      </c>
      <c r="D33" s="5"/>
      <c r="E33" s="10">
        <f t="shared" si="2"/>
        <v>-0.50005168525714283</v>
      </c>
      <c r="F33" s="7"/>
      <c r="G33" s="3">
        <f t="shared" si="3"/>
        <v>182.70075828332034</v>
      </c>
      <c r="H33" s="25">
        <v>9.6389927419999993E-2</v>
      </c>
      <c r="I33" s="5">
        <v>23.239272209999999</v>
      </c>
      <c r="J33" s="5">
        <v>-4.8339865189999998</v>
      </c>
      <c r="K33" s="4"/>
      <c r="AM33" s="9">
        <v>1.34037077</v>
      </c>
      <c r="AN33" s="6"/>
      <c r="AO33" s="5">
        <v>-0.4375452246</v>
      </c>
      <c r="AP33" s="5"/>
      <c r="AQ33" s="10">
        <f t="shared" si="4"/>
        <v>-0.50005168525714283</v>
      </c>
      <c r="AR33" s="7"/>
      <c r="AS33" s="3">
        <f t="shared" si="6"/>
        <v>194.70710483090434</v>
      </c>
      <c r="AT33" s="28">
        <v>5.0958592140000002E-2</v>
      </c>
      <c r="AU33" s="5">
        <v>19.998335900000001</v>
      </c>
      <c r="AV33" s="5">
        <v>-4.1638339809999998</v>
      </c>
      <c r="CE33" s="5">
        <v>1.251965805</v>
      </c>
      <c r="CF33" s="9">
        <v>1.333234483</v>
      </c>
      <c r="CG33" s="2">
        <f t="shared" si="0"/>
        <v>181.86507994265091</v>
      </c>
      <c r="CH33" s="2">
        <f t="shared" si="1"/>
        <v>193.67046197647056</v>
      </c>
      <c r="CI33" s="5">
        <v>-0.41135924470000002</v>
      </c>
      <c r="CJ33" s="20">
        <f t="shared" si="5"/>
        <v>-0.47031014817787192</v>
      </c>
    </row>
    <row r="34" spans="1:88" x14ac:dyDescent="0.25">
      <c r="A34" s="5">
        <v>1.251965805</v>
      </c>
      <c r="B34" s="6"/>
      <c r="C34" s="5">
        <v>-0.41135924470000002</v>
      </c>
      <c r="D34" s="5"/>
      <c r="E34" s="10">
        <f t="shared" si="2"/>
        <v>-0.47012485108571428</v>
      </c>
      <c r="F34" s="7"/>
      <c r="G34" s="3">
        <f t="shared" si="3"/>
        <v>181.86507994265091</v>
      </c>
      <c r="H34" s="25">
        <v>0.1066473203</v>
      </c>
      <c r="I34" s="5">
        <v>25.179872459999999</v>
      </c>
      <c r="J34" s="5">
        <v>-5.5239418709999999</v>
      </c>
      <c r="K34" s="4"/>
      <c r="AM34" s="9">
        <v>1.333234483</v>
      </c>
      <c r="AN34" s="6"/>
      <c r="AO34" s="5">
        <v>-0.41135924470000002</v>
      </c>
      <c r="AP34" s="5"/>
      <c r="AQ34" s="10">
        <f t="shared" si="4"/>
        <v>-0.47012485108571428</v>
      </c>
      <c r="AR34" s="7"/>
      <c r="AS34" s="3">
        <f t="shared" si="6"/>
        <v>193.67046197647056</v>
      </c>
      <c r="AT34" s="28">
        <v>5.6376858580000001E-2</v>
      </c>
      <c r="AU34" s="5">
        <v>21.65980523</v>
      </c>
      <c r="AV34" s="5">
        <v>-4.7573357380000001</v>
      </c>
      <c r="CE34" s="5">
        <v>1.2445246089999999</v>
      </c>
      <c r="CF34" s="9">
        <v>1.3242312789999999</v>
      </c>
      <c r="CG34" s="2">
        <f t="shared" si="0"/>
        <v>180.78414490432615</v>
      </c>
      <c r="CH34" s="2">
        <f t="shared" si="1"/>
        <v>192.36262400784486</v>
      </c>
      <c r="CI34" s="5">
        <v>-0.38506510980000003</v>
      </c>
      <c r="CJ34" s="20">
        <f t="shared" si="5"/>
        <v>-0.44024786407861305</v>
      </c>
    </row>
    <row r="35" spans="1:88" x14ac:dyDescent="0.25">
      <c r="A35" s="5">
        <v>1.2445246089999999</v>
      </c>
      <c r="B35" s="6"/>
      <c r="C35" s="5">
        <v>-0.38506510980000003</v>
      </c>
      <c r="D35" s="5"/>
      <c r="E35" s="10">
        <f t="shared" si="2"/>
        <v>-0.44007441120000002</v>
      </c>
      <c r="F35" s="7"/>
      <c r="G35" s="3">
        <f t="shared" si="3"/>
        <v>180.78414490432615</v>
      </c>
      <c r="H35" s="25">
        <v>0.1174711058</v>
      </c>
      <c r="I35" s="5">
        <v>27.176540750000001</v>
      </c>
      <c r="J35" s="5">
        <v>-6.2706547510000004</v>
      </c>
      <c r="K35" s="4"/>
      <c r="AM35" s="9">
        <v>1.3242312789999999</v>
      </c>
      <c r="AN35" s="6"/>
      <c r="AO35" s="5">
        <v>-0.38506510980000003</v>
      </c>
      <c r="AP35" s="5"/>
      <c r="AQ35" s="10">
        <f t="shared" si="4"/>
        <v>-0.44007441120000002</v>
      </c>
      <c r="AR35" s="7"/>
      <c r="AS35" s="3">
        <f t="shared" si="6"/>
        <v>192.36262400784486</v>
      </c>
      <c r="AT35" s="28">
        <v>6.2099282309999997E-2</v>
      </c>
      <c r="AU35" s="5">
        <v>23.364337590000002</v>
      </c>
      <c r="AV35" s="5">
        <v>-5.3993030869999998</v>
      </c>
      <c r="CE35" s="5">
        <v>1.239093988</v>
      </c>
      <c r="CF35" s="9">
        <v>1.3159566309999999</v>
      </c>
      <c r="CG35" s="2">
        <f t="shared" si="0"/>
        <v>179.99527326074062</v>
      </c>
      <c r="CH35" s="2">
        <f t="shared" si="1"/>
        <v>191.16061871823771</v>
      </c>
      <c r="CI35" s="5">
        <v>-0.37132677819999999</v>
      </c>
      <c r="CJ35" s="20">
        <f t="shared" si="5"/>
        <v>-0.42454072523644382</v>
      </c>
    </row>
    <row r="36" spans="1:88" x14ac:dyDescent="0.25">
      <c r="A36" s="5">
        <v>1.239093988</v>
      </c>
      <c r="B36" s="6"/>
      <c r="C36" s="5">
        <v>-0.37132677819999999</v>
      </c>
      <c r="D36" s="5"/>
      <c r="E36" s="10">
        <f t="shared" si="2"/>
        <v>-0.42437346079999999</v>
      </c>
      <c r="F36" s="7"/>
      <c r="G36" s="3">
        <f t="shared" si="3"/>
        <v>179.99527326074062</v>
      </c>
      <c r="H36" s="25">
        <v>0.1174711058</v>
      </c>
      <c r="I36" s="5">
        <v>27.255340489999998</v>
      </c>
      <c r="J36" s="5">
        <v>-6.3000614419999996</v>
      </c>
      <c r="K36" s="4"/>
      <c r="AM36" s="9">
        <v>1.3159566309999999</v>
      </c>
      <c r="AN36" s="6"/>
      <c r="AO36" s="5">
        <v>-0.37132677819999999</v>
      </c>
      <c r="AP36" s="5"/>
      <c r="AQ36" s="10">
        <f t="shared" si="4"/>
        <v>-0.42437346079999999</v>
      </c>
      <c r="AR36" s="7"/>
      <c r="AS36" s="3">
        <f t="shared" si="6"/>
        <v>191.16061871823771</v>
      </c>
      <c r="AT36" s="28">
        <v>6.2099282309999997E-2</v>
      </c>
      <c r="AU36" s="5">
        <v>23.43159868</v>
      </c>
      <c r="AV36" s="5">
        <v>-5.4245842169999996</v>
      </c>
      <c r="CE36" s="5">
        <v>1.2392273110000001</v>
      </c>
      <c r="CF36" s="9">
        <v>1.317756691</v>
      </c>
      <c r="CG36" s="2">
        <f t="shared" si="0"/>
        <v>180.01464024181661</v>
      </c>
      <c r="CH36" s="2">
        <f t="shared" si="1"/>
        <v>191.42210194285468</v>
      </c>
      <c r="CI36" s="5">
        <v>-0.36903742509999998</v>
      </c>
      <c r="CJ36" s="20">
        <f t="shared" si="5"/>
        <v>-0.42192329045269977</v>
      </c>
    </row>
    <row r="37" spans="1:88" x14ac:dyDescent="0.25">
      <c r="A37" s="5">
        <v>1.2392273110000001</v>
      </c>
      <c r="B37" s="6"/>
      <c r="C37" s="5">
        <v>-0.36903742509999998</v>
      </c>
      <c r="D37" s="5"/>
      <c r="E37" s="10">
        <f t="shared" si="2"/>
        <v>-0.42175705725714285</v>
      </c>
      <c r="F37" s="7"/>
      <c r="G37" s="3">
        <f t="shared" si="3"/>
        <v>180.01464024181661</v>
      </c>
      <c r="H37" s="25">
        <v>0.1174711058</v>
      </c>
      <c r="I37" s="5">
        <v>27.492229300000002</v>
      </c>
      <c r="J37" s="5">
        <v>-6.3888654010000003</v>
      </c>
      <c r="K37" s="4"/>
      <c r="AM37" s="9">
        <v>1.317756691</v>
      </c>
      <c r="AN37" s="6"/>
      <c r="AO37" s="5">
        <v>-0.36903742509999998</v>
      </c>
      <c r="AP37" s="5"/>
      <c r="AQ37" s="10">
        <f t="shared" si="4"/>
        <v>-0.42175705725714285</v>
      </c>
      <c r="AR37" s="7"/>
      <c r="AS37" s="3">
        <f t="shared" si="6"/>
        <v>191.42210194285468</v>
      </c>
      <c r="AT37" s="28">
        <v>6.2099282309999997E-2</v>
      </c>
      <c r="AU37" s="5">
        <v>23.63374662</v>
      </c>
      <c r="AV37" s="5">
        <v>-5.5009247060000002</v>
      </c>
      <c r="CE37" s="5">
        <v>1.243916582</v>
      </c>
      <c r="CF37" s="9">
        <v>1.322677506</v>
      </c>
      <c r="CG37" s="2">
        <f t="shared" si="0"/>
        <v>180.69582070368054</v>
      </c>
      <c r="CH37" s="2">
        <f t="shared" si="1"/>
        <v>192.13691732342173</v>
      </c>
      <c r="CI37" s="5">
        <v>-0.36447283359999999</v>
      </c>
      <c r="CJ37" s="20">
        <f t="shared" si="5"/>
        <v>-0.41670455832890352</v>
      </c>
    </row>
    <row r="38" spans="1:88" x14ac:dyDescent="0.25">
      <c r="A38" s="5">
        <v>1.243916582</v>
      </c>
      <c r="B38" s="6"/>
      <c r="C38" s="5">
        <v>-0.36447283359999999</v>
      </c>
      <c r="D38" s="5"/>
      <c r="E38" s="10">
        <f t="shared" si="2"/>
        <v>-0.41654038125714282</v>
      </c>
      <c r="F38" s="7"/>
      <c r="G38" s="3">
        <f t="shared" si="3"/>
        <v>180.69582070368054</v>
      </c>
      <c r="H38" s="25">
        <v>0.1174711058</v>
      </c>
      <c r="I38" s="5">
        <v>27.887009500000001</v>
      </c>
      <c r="J38" s="5">
        <v>-6.5383801259999998</v>
      </c>
      <c r="K38" s="4"/>
      <c r="AM38" s="9">
        <v>1.322677506</v>
      </c>
      <c r="AN38" s="6"/>
      <c r="AO38" s="5">
        <v>-0.36447283359999999</v>
      </c>
      <c r="AP38" s="5"/>
      <c r="AQ38" s="10">
        <f t="shared" si="4"/>
        <v>-0.41654038125714282</v>
      </c>
      <c r="AR38" s="7"/>
      <c r="AS38" s="3">
        <f t="shared" si="6"/>
        <v>192.13691732342173</v>
      </c>
      <c r="AT38" s="28">
        <v>6.2099282309999997E-2</v>
      </c>
      <c r="AU38" s="5">
        <v>23.97060858</v>
      </c>
      <c r="AV38" s="5">
        <v>-5.6294418559999997</v>
      </c>
      <c r="CE38" s="5">
        <v>1.249086208</v>
      </c>
      <c r="CF38" s="9">
        <v>1.3278677729999999</v>
      </c>
      <c r="CG38" s="2">
        <f t="shared" si="0"/>
        <v>181.44677926980816</v>
      </c>
      <c r="CH38" s="2">
        <f t="shared" si="1"/>
        <v>192.89087427584718</v>
      </c>
      <c r="CI38" s="5">
        <v>-0.35766114589999998</v>
      </c>
      <c r="CJ38" s="20">
        <f t="shared" si="5"/>
        <v>-0.40891670405601671</v>
      </c>
    </row>
    <row r="39" spans="1:88" x14ac:dyDescent="0.25">
      <c r="A39" s="5">
        <v>1.249086208</v>
      </c>
      <c r="B39" s="6"/>
      <c r="C39" s="5">
        <v>-0.35766114589999998</v>
      </c>
      <c r="D39" s="5"/>
      <c r="E39" s="10">
        <f t="shared" si="2"/>
        <v>-0.40875559531428568</v>
      </c>
      <c r="F39" s="7"/>
      <c r="G39" s="3">
        <f t="shared" si="3"/>
        <v>181.44677926980816</v>
      </c>
      <c r="H39" s="25">
        <v>0.1174711058</v>
      </c>
      <c r="I39" s="5">
        <v>28.438340069999999</v>
      </c>
      <c r="J39" s="5">
        <v>-6.7505213680000002</v>
      </c>
      <c r="K39" s="4"/>
      <c r="AM39" s="9">
        <v>1.3278677729999999</v>
      </c>
      <c r="AN39" s="6"/>
      <c r="AO39" s="5">
        <v>-0.35766114589999998</v>
      </c>
      <c r="AP39" s="5"/>
      <c r="AQ39" s="10">
        <f t="shared" si="4"/>
        <v>-0.40875559531428568</v>
      </c>
      <c r="AR39" s="7"/>
      <c r="AS39" s="3">
        <f t="shared" si="6"/>
        <v>192.89087427584718</v>
      </c>
      <c r="AT39" s="28">
        <v>6.2099282309999997E-2</v>
      </c>
      <c r="AU39" s="5">
        <v>24.441153960000001</v>
      </c>
      <c r="AV39" s="5">
        <v>-5.8117653220000003</v>
      </c>
      <c r="CE39" s="5">
        <v>1.254416368</v>
      </c>
      <c r="CF39" s="9">
        <v>1.333187795</v>
      </c>
      <c r="CG39" s="2">
        <f t="shared" si="0"/>
        <v>182.22105758526669</v>
      </c>
      <c r="CH39" s="2">
        <f t="shared" si="1"/>
        <v>193.66367990876674</v>
      </c>
      <c r="CI39" s="5">
        <v>-0.34864435830000001</v>
      </c>
      <c r="CJ39" s="20">
        <f t="shared" si="5"/>
        <v>-0.39860774232273399</v>
      </c>
    </row>
    <row r="40" spans="1:88" x14ac:dyDescent="0.25">
      <c r="A40" s="5">
        <v>1.254416368</v>
      </c>
      <c r="B40" s="6"/>
      <c r="C40" s="5">
        <v>-0.34864435830000001</v>
      </c>
      <c r="D40" s="5"/>
      <c r="E40" s="10">
        <f t="shared" si="2"/>
        <v>-0.39845069520000004</v>
      </c>
      <c r="F40" s="7"/>
      <c r="G40" s="3">
        <f t="shared" si="3"/>
        <v>182.22105758526669</v>
      </c>
      <c r="H40" s="25">
        <v>0.1174711058</v>
      </c>
      <c r="I40" s="5">
        <v>29.143839310000001</v>
      </c>
      <c r="J40" s="5">
        <v>-7.0277359449999999</v>
      </c>
      <c r="K40" s="4"/>
      <c r="AM40" s="9">
        <v>1.333187795</v>
      </c>
      <c r="AN40" s="6"/>
      <c r="AO40" s="5">
        <v>-0.34864435830000001</v>
      </c>
      <c r="AP40" s="5"/>
      <c r="AQ40" s="10">
        <f t="shared" si="4"/>
        <v>-0.39845069520000004</v>
      </c>
      <c r="AR40" s="7"/>
      <c r="AS40" s="3">
        <f t="shared" si="6"/>
        <v>193.66367990876674</v>
      </c>
      <c r="AT40" s="28">
        <v>6.2099282309999997E-2</v>
      </c>
      <c r="AU40" s="5">
        <v>25.04355632</v>
      </c>
      <c r="AV40" s="5">
        <v>-6.0499782360000003</v>
      </c>
      <c r="CE40" s="5">
        <v>1.2599094580000001</v>
      </c>
      <c r="CF40" s="9">
        <v>1.3386738899999999</v>
      </c>
      <c r="CG40" s="2">
        <f t="shared" si="0"/>
        <v>183.01900370168016</v>
      </c>
      <c r="CH40" s="2">
        <f t="shared" si="1"/>
        <v>194.46060990618625</v>
      </c>
      <c r="CI40" s="5">
        <v>-0.33747806219999998</v>
      </c>
      <c r="CJ40" s="20">
        <f t="shared" si="5"/>
        <v>-0.38584123119881608</v>
      </c>
    </row>
    <row r="41" spans="1:88" x14ac:dyDescent="0.25">
      <c r="A41" s="5">
        <v>1.2599094580000001</v>
      </c>
      <c r="B41" s="6"/>
      <c r="C41" s="5">
        <v>-0.33747806219999998</v>
      </c>
      <c r="D41" s="5"/>
      <c r="E41" s="10">
        <f t="shared" si="2"/>
        <v>-0.3856892139428571</v>
      </c>
      <c r="F41" s="7"/>
      <c r="G41" s="3">
        <f t="shared" si="3"/>
        <v>183.01900370168016</v>
      </c>
      <c r="H41" s="25">
        <v>0.1174711058</v>
      </c>
      <c r="I41" s="5">
        <v>30.0001502</v>
      </c>
      <c r="J41" s="5">
        <v>-7.3729042600000003</v>
      </c>
      <c r="K41" s="4"/>
      <c r="AM41" s="9">
        <v>1.3386738899999999</v>
      </c>
      <c r="AN41" s="6"/>
      <c r="AO41" s="5">
        <v>-0.33747806219999998</v>
      </c>
      <c r="AP41" s="5"/>
      <c r="AQ41" s="10">
        <f t="shared" si="4"/>
        <v>-0.3856892139428571</v>
      </c>
      <c r="AR41" s="7"/>
      <c r="AS41" s="3">
        <f t="shared" si="6"/>
        <v>194.46060990618625</v>
      </c>
      <c r="AT41" s="28">
        <v>6.2099282309999997E-2</v>
      </c>
      <c r="AU41" s="5">
        <v>25.7752105</v>
      </c>
      <c r="AV41" s="5">
        <v>-6.3465362839999999</v>
      </c>
      <c r="CE41" s="5">
        <v>1.2655549939999999</v>
      </c>
      <c r="CF41" s="9">
        <v>1.344319853</v>
      </c>
      <c r="CG41" s="2">
        <f t="shared" si="0"/>
        <v>183.8390946752983</v>
      </c>
      <c r="CH41" s="2">
        <f t="shared" si="1"/>
        <v>195.28076290736846</v>
      </c>
      <c r="CI41" s="5">
        <v>-0.32423110170000002</v>
      </c>
      <c r="CJ41" s="20">
        <f t="shared" si="5"/>
        <v>-0.37069588066657022</v>
      </c>
    </row>
    <row r="42" spans="1:88" x14ac:dyDescent="0.25">
      <c r="A42" s="5">
        <v>1.2655549939999999</v>
      </c>
      <c r="B42" s="6"/>
      <c r="C42" s="5">
        <v>-0.32423110170000002</v>
      </c>
      <c r="D42" s="5"/>
      <c r="E42" s="10">
        <f t="shared" si="2"/>
        <v>-0.37054983051428575</v>
      </c>
      <c r="F42" s="7"/>
      <c r="G42" s="3">
        <f t="shared" si="3"/>
        <v>183.8390946752983</v>
      </c>
      <c r="H42" s="25">
        <v>0.1174711058</v>
      </c>
      <c r="I42" s="5">
        <v>31.003417819999999</v>
      </c>
      <c r="J42" s="5">
        <v>-7.78922516</v>
      </c>
      <c r="K42" s="4"/>
      <c r="AM42" s="9">
        <v>1.344319853</v>
      </c>
      <c r="AN42" s="6"/>
      <c r="AO42" s="5">
        <v>-0.32423110170000002</v>
      </c>
      <c r="AP42" s="5"/>
      <c r="AQ42" s="10">
        <f t="shared" si="4"/>
        <v>-0.37054983051428575</v>
      </c>
      <c r="AR42" s="7"/>
      <c r="AS42" s="3">
        <f t="shared" si="6"/>
        <v>195.28076290736846</v>
      </c>
      <c r="AT42" s="28">
        <v>6.2099282309999997E-2</v>
      </c>
      <c r="AU42" s="5">
        <v>26.632722609999998</v>
      </c>
      <c r="AV42" s="5">
        <v>-6.7041665009999996</v>
      </c>
      <c r="CE42" s="5">
        <v>1.271305951</v>
      </c>
      <c r="CF42" s="9">
        <v>1.3500764970000001</v>
      </c>
      <c r="CG42" s="2">
        <f t="shared" si="0"/>
        <v>184.67449948457883</v>
      </c>
      <c r="CH42" s="2">
        <f t="shared" si="1"/>
        <v>196.1169938308332</v>
      </c>
      <c r="CI42" s="5">
        <v>-0.30898514869999999</v>
      </c>
      <c r="CJ42" s="20">
        <f t="shared" si="5"/>
        <v>-0.35326506682945291</v>
      </c>
    </row>
    <row r="43" spans="1:88" x14ac:dyDescent="0.25">
      <c r="A43" s="5">
        <v>1.271305951</v>
      </c>
      <c r="B43" s="6"/>
      <c r="C43" s="5">
        <v>-0.30898514869999999</v>
      </c>
      <c r="D43" s="5"/>
      <c r="E43" s="10">
        <f t="shared" si="2"/>
        <v>-0.35312588422857144</v>
      </c>
      <c r="F43" s="7"/>
      <c r="G43" s="3">
        <f t="shared" si="3"/>
        <v>184.67449948457883</v>
      </c>
      <c r="H43" s="25">
        <v>0.1174711058</v>
      </c>
      <c r="I43" s="5">
        <v>32.149321929999999</v>
      </c>
      <c r="J43" s="5">
        <v>-8.2800845269999996</v>
      </c>
      <c r="K43" s="4"/>
      <c r="AM43" s="9">
        <v>1.3500764970000001</v>
      </c>
      <c r="AN43" s="6"/>
      <c r="AO43" s="5">
        <v>-0.30898514869999999</v>
      </c>
      <c r="AP43" s="5"/>
      <c r="AQ43" s="10">
        <f t="shared" si="4"/>
        <v>-0.35312588422857144</v>
      </c>
      <c r="AR43" s="7"/>
      <c r="AS43" s="3">
        <f t="shared" si="6"/>
        <v>196.1169938308332</v>
      </c>
      <c r="AT43" s="28">
        <v>6.2099282309999997E-2</v>
      </c>
      <c r="AU43" s="5">
        <v>27.611888709999999</v>
      </c>
      <c r="AV43" s="5">
        <v>-7.1257478409999999</v>
      </c>
      <c r="CE43" s="5">
        <v>1.277089253</v>
      </c>
      <c r="CF43" s="9">
        <v>1.355867208</v>
      </c>
      <c r="CG43" s="2">
        <f t="shared" si="0"/>
        <v>185.51460284551885</v>
      </c>
      <c r="CH43" s="2">
        <f t="shared" si="1"/>
        <v>196.95817344990417</v>
      </c>
      <c r="CI43" s="5">
        <v>-0.29183419939999999</v>
      </c>
      <c r="CJ43" s="20">
        <f t="shared" si="5"/>
        <v>-0.3336562562566972</v>
      </c>
    </row>
    <row r="44" spans="1:88" x14ac:dyDescent="0.25">
      <c r="A44" s="5">
        <v>1.277089253</v>
      </c>
      <c r="B44" s="6"/>
      <c r="C44" s="5">
        <v>-0.29183419939999999</v>
      </c>
      <c r="D44" s="5"/>
      <c r="E44" s="10">
        <f t="shared" si="2"/>
        <v>-0.33352479931428569</v>
      </c>
      <c r="F44" s="5"/>
      <c r="G44" s="3">
        <f t="shared" si="3"/>
        <v>185.51460284551885</v>
      </c>
      <c r="H44" s="25">
        <v>0.1174711058</v>
      </c>
      <c r="I44" s="5">
        <v>33.43204034</v>
      </c>
      <c r="J44" s="5">
        <v>-8.8488925829999996</v>
      </c>
      <c r="K44" s="4"/>
      <c r="AM44" s="9">
        <v>1.355867208</v>
      </c>
      <c r="AN44" s="6"/>
      <c r="AO44" s="5">
        <v>-0.29183419939999999</v>
      </c>
      <c r="AP44" s="5"/>
      <c r="AQ44" s="10">
        <f t="shared" si="4"/>
        <v>-0.33352479931428569</v>
      </c>
      <c r="AR44" s="5"/>
      <c r="AS44" s="3">
        <f t="shared" si="6"/>
        <v>196.95817344990417</v>
      </c>
      <c r="AT44" s="28">
        <v>6.2099282309999997E-2</v>
      </c>
      <c r="AU44" s="5">
        <v>28.707673100000001</v>
      </c>
      <c r="AV44" s="5">
        <v>-7.6141761739999998</v>
      </c>
      <c r="CE44" s="5">
        <v>1.2828166990000001</v>
      </c>
      <c r="CF44" s="9">
        <v>1.361600564</v>
      </c>
      <c r="CG44" s="2">
        <f t="shared" si="0"/>
        <v>186.3465923619236</v>
      </c>
      <c r="CH44" s="2">
        <f t="shared" si="1"/>
        <v>197.79102147427943</v>
      </c>
      <c r="CI44" s="5">
        <v>-0.27288399530000002</v>
      </c>
      <c r="CJ44" s="20">
        <f t="shared" si="5"/>
        <v>-0.31199034400821551</v>
      </c>
    </row>
    <row r="45" spans="1:88" x14ac:dyDescent="0.25">
      <c r="A45" s="5">
        <v>1.2828166990000001</v>
      </c>
      <c r="B45" s="6"/>
      <c r="C45" s="5">
        <v>-0.27288399530000002</v>
      </c>
      <c r="D45" s="5"/>
      <c r="E45" s="10">
        <f t="shared" si="2"/>
        <v>-0.31186742319999999</v>
      </c>
      <c r="F45" s="5"/>
      <c r="G45" s="3">
        <f t="shared" si="3"/>
        <v>186.3465923619236</v>
      </c>
      <c r="H45" s="25">
        <v>0.1174711058</v>
      </c>
      <c r="I45" s="5">
        <v>34.844752200000002</v>
      </c>
      <c r="J45" s="5">
        <v>-9.4989114889999993</v>
      </c>
      <c r="K45" s="4"/>
      <c r="AM45" s="9">
        <v>1.361600564</v>
      </c>
      <c r="AN45" s="6"/>
      <c r="AO45" s="5">
        <v>-0.27288399530000002</v>
      </c>
      <c r="AP45" s="5"/>
      <c r="AQ45" s="10">
        <f t="shared" si="4"/>
        <v>-0.31186742319999999</v>
      </c>
      <c r="AR45" s="5"/>
      <c r="AS45" s="3">
        <f t="shared" si="6"/>
        <v>197.79102147427943</v>
      </c>
      <c r="AT45" s="28">
        <v>6.2099282309999997E-2</v>
      </c>
      <c r="AU45" s="5">
        <v>29.914193919999999</v>
      </c>
      <c r="AV45" s="5">
        <v>-8.1722169220000005</v>
      </c>
      <c r="CE45" s="5">
        <v>1.2883932709999999</v>
      </c>
      <c r="CF45" s="9">
        <v>1.3671791689999999</v>
      </c>
      <c r="CG45" s="2">
        <f t="shared" si="0"/>
        <v>187.15666537552795</v>
      </c>
      <c r="CH45" s="2">
        <f t="shared" si="1"/>
        <v>198.6013898088151</v>
      </c>
      <c r="CI45" s="5">
        <v>-0.25225137050000002</v>
      </c>
      <c r="CJ45" s="20">
        <f t="shared" si="5"/>
        <v>-0.28840090739773344</v>
      </c>
    </row>
    <row r="46" spans="1:88" x14ac:dyDescent="0.25">
      <c r="A46" s="5">
        <v>1.2883932709999999</v>
      </c>
      <c r="B46" s="6"/>
      <c r="C46" s="5">
        <v>-0.25225137050000002</v>
      </c>
      <c r="D46" s="5"/>
      <c r="E46" s="10">
        <f t="shared" si="2"/>
        <v>-0.28828728057142861</v>
      </c>
      <c r="F46" s="5"/>
      <c r="G46" s="3">
        <f t="shared" si="3"/>
        <v>187.15666537552795</v>
      </c>
      <c r="H46" s="25">
        <v>0.1174711058</v>
      </c>
      <c r="I46" s="5">
        <v>36.379631930000002</v>
      </c>
      <c r="J46" s="5">
        <v>-10.23307271</v>
      </c>
      <c r="K46" s="4"/>
      <c r="AM46" s="9">
        <v>1.3671791689999999</v>
      </c>
      <c r="AN46" s="6"/>
      <c r="AO46" s="5">
        <v>-0.25225137050000002</v>
      </c>
      <c r="AP46" s="5"/>
      <c r="AQ46" s="10">
        <f t="shared" si="4"/>
        <v>-0.28828728057142861</v>
      </c>
      <c r="AR46" s="5"/>
      <c r="AS46" s="3">
        <f t="shared" si="6"/>
        <v>198.6013898088151</v>
      </c>
      <c r="AT46" s="28">
        <v>6.2099282309999997E-2</v>
      </c>
      <c r="AU46" s="5">
        <v>31.224720569999999</v>
      </c>
      <c r="AV46" s="5">
        <v>-8.8023491600000003</v>
      </c>
      <c r="CE46" s="5">
        <v>1.2937230710000001</v>
      </c>
      <c r="CF46" s="9">
        <v>1.3725057430000001</v>
      </c>
      <c r="CG46" s="2">
        <f t="shared" si="0"/>
        <v>187.93089139608477</v>
      </c>
      <c r="CH46" s="2">
        <f t="shared" si="1"/>
        <v>199.37514720894671</v>
      </c>
      <c r="CI46" s="5">
        <v>-0.23006353230000001</v>
      </c>
      <c r="CJ46" s="20">
        <f t="shared" si="5"/>
        <v>-0.26303338349730693</v>
      </c>
    </row>
    <row r="47" spans="1:88" x14ac:dyDescent="0.25">
      <c r="A47" s="5">
        <v>1.2937230710000001</v>
      </c>
      <c r="B47" s="6"/>
      <c r="C47" s="5">
        <v>-0.23006353230000001</v>
      </c>
      <c r="D47" s="5"/>
      <c r="E47" s="10">
        <f t="shared" si="2"/>
        <v>-0.26292975120000001</v>
      </c>
      <c r="F47" s="5"/>
      <c r="G47" s="3">
        <f t="shared" si="3"/>
        <v>187.93089139608477</v>
      </c>
      <c r="H47" s="25">
        <v>0.1174711058</v>
      </c>
      <c r="I47" s="5">
        <v>38.027860070000003</v>
      </c>
      <c r="J47" s="5">
        <v>-11.05378917</v>
      </c>
      <c r="K47" s="4"/>
      <c r="AM47" s="9">
        <v>1.3725057430000001</v>
      </c>
      <c r="AN47" s="6"/>
      <c r="AO47" s="5">
        <v>-0.23006353230000001</v>
      </c>
      <c r="AP47" s="5"/>
      <c r="AQ47" s="10">
        <f t="shared" si="4"/>
        <v>-0.26292975120000001</v>
      </c>
      <c r="AR47" s="5"/>
      <c r="AS47" s="3">
        <f t="shared" si="6"/>
        <v>199.37514720894671</v>
      </c>
      <c r="AT47" s="28">
        <v>6.2099282309999997E-2</v>
      </c>
      <c r="AU47" s="5">
        <v>32.631685539999999</v>
      </c>
      <c r="AV47" s="5">
        <v>-9.5066054990000008</v>
      </c>
      <c r="CE47" s="5">
        <v>1.2987135400000001</v>
      </c>
      <c r="CF47" s="9">
        <v>1.377487363</v>
      </c>
      <c r="CG47" s="2">
        <f t="shared" si="0"/>
        <v>188.65582496856067</v>
      </c>
      <c r="CH47" s="2">
        <f t="shared" si="1"/>
        <v>200.09879534368463</v>
      </c>
      <c r="CI47" s="5">
        <v>-0.20645727580000001</v>
      </c>
      <c r="CJ47" s="20">
        <f t="shared" si="5"/>
        <v>-0.23604417118353818</v>
      </c>
    </row>
    <row r="48" spans="1:88" x14ac:dyDescent="0.25">
      <c r="A48" s="5">
        <v>1.2987135400000001</v>
      </c>
      <c r="B48" s="6"/>
      <c r="C48" s="5">
        <v>-0.20645727580000001</v>
      </c>
      <c r="D48" s="5"/>
      <c r="E48" s="10">
        <f t="shared" si="2"/>
        <v>-0.23595117234285715</v>
      </c>
      <c r="F48" s="5"/>
      <c r="G48" s="3">
        <f t="shared" si="3"/>
        <v>188.65582496856067</v>
      </c>
      <c r="H48" s="25">
        <v>0.1174711058</v>
      </c>
      <c r="I48" s="5">
        <v>39.779652779999999</v>
      </c>
      <c r="J48" s="5">
        <v>-11.962767789999999</v>
      </c>
      <c r="K48" s="4"/>
      <c r="AM48" s="9">
        <v>1.377487363</v>
      </c>
      <c r="AN48" s="6"/>
      <c r="AO48" s="5">
        <v>-0.20645727580000001</v>
      </c>
      <c r="AP48" s="5"/>
      <c r="AQ48" s="10">
        <f t="shared" si="4"/>
        <v>-0.23595117234285715</v>
      </c>
      <c r="AR48" s="5"/>
      <c r="AS48" s="3">
        <f t="shared" si="6"/>
        <v>200.09879534368463</v>
      </c>
      <c r="AT48" s="28">
        <v>6.2099282309999997E-2</v>
      </c>
      <c r="AU48" s="5">
        <v>34.12671186</v>
      </c>
      <c r="AV48" s="5">
        <v>-10.28641249</v>
      </c>
      <c r="CE48" s="5">
        <v>1.303278444</v>
      </c>
      <c r="CF48" s="9">
        <v>1.382038372</v>
      </c>
      <c r="CG48" s="2">
        <f t="shared" si="0"/>
        <v>189.31893943029354</v>
      </c>
      <c r="CH48" s="2">
        <f t="shared" si="1"/>
        <v>200.75989136747316</v>
      </c>
      <c r="CI48" s="5">
        <v>-0.18157814150000001</v>
      </c>
      <c r="CJ48" s="20">
        <f t="shared" si="5"/>
        <v>-0.20759966801525878</v>
      </c>
    </row>
    <row r="49" spans="1:88" x14ac:dyDescent="0.25">
      <c r="A49" s="5">
        <v>1.303278444</v>
      </c>
      <c r="B49" s="6"/>
      <c r="C49" s="5">
        <v>-0.18157814150000001</v>
      </c>
      <c r="D49" s="5"/>
      <c r="E49" s="10">
        <f t="shared" si="2"/>
        <v>-0.20751787600000002</v>
      </c>
      <c r="F49" s="5"/>
      <c r="G49" s="3">
        <f t="shared" si="3"/>
        <v>189.31893943029354</v>
      </c>
      <c r="H49" s="25">
        <v>0.1174711058</v>
      </c>
      <c r="I49" s="5">
        <v>41.624310559999998</v>
      </c>
      <c r="J49" s="5">
        <v>-12.960828129999999</v>
      </c>
      <c r="K49" s="4"/>
      <c r="AM49" s="9">
        <v>1.382038372</v>
      </c>
      <c r="AN49" s="6"/>
      <c r="AO49" s="5">
        <v>-0.18157814150000001</v>
      </c>
      <c r="AP49" s="5"/>
      <c r="AQ49" s="10">
        <f t="shared" si="4"/>
        <v>-0.20751787600000002</v>
      </c>
      <c r="AR49" s="5"/>
      <c r="AS49" s="3">
        <f t="shared" si="6"/>
        <v>200.75989136747316</v>
      </c>
      <c r="AT49" s="28">
        <v>6.2099282309999997E-2</v>
      </c>
      <c r="AU49" s="5">
        <v>35.700656690000002</v>
      </c>
      <c r="AV49" s="5">
        <v>-11.14243651</v>
      </c>
      <c r="CE49" s="5">
        <v>1.3073399560000001</v>
      </c>
      <c r="CF49" s="9">
        <v>1.386082298</v>
      </c>
      <c r="CG49" s="2">
        <f t="shared" si="0"/>
        <v>189.90892934984092</v>
      </c>
      <c r="CH49" s="2">
        <f t="shared" si="1"/>
        <v>201.3473266810696</v>
      </c>
      <c r="CI49" s="5">
        <v>-0.1555795177</v>
      </c>
      <c r="CJ49" s="20">
        <f t="shared" si="5"/>
        <v>-0.17787524400063359</v>
      </c>
    </row>
    <row r="50" spans="1:88" x14ac:dyDescent="0.25">
      <c r="A50" s="5">
        <v>1.3073399560000001</v>
      </c>
      <c r="B50" s="6"/>
      <c r="C50" s="5">
        <v>-0.1555795177</v>
      </c>
      <c r="D50" s="5"/>
      <c r="E50" s="10">
        <f t="shared" si="2"/>
        <v>-0.17780516308571429</v>
      </c>
      <c r="F50" s="5"/>
      <c r="G50" s="3">
        <f t="shared" si="3"/>
        <v>189.90892934984092</v>
      </c>
      <c r="H50" s="25">
        <v>0.1174711058</v>
      </c>
      <c r="I50" s="5">
        <v>43.550285989999999</v>
      </c>
      <c r="J50" s="5">
        <v>-14.047733239999999</v>
      </c>
      <c r="K50" s="4"/>
      <c r="AM50" s="9">
        <v>1.386082298</v>
      </c>
      <c r="AN50" s="6"/>
      <c r="AO50" s="5">
        <v>-0.1555795177</v>
      </c>
      <c r="AP50" s="5"/>
      <c r="AQ50" s="10">
        <f t="shared" si="4"/>
        <v>-0.17780516308571429</v>
      </c>
      <c r="AR50" s="5"/>
      <c r="AS50" s="3">
        <f t="shared" si="6"/>
        <v>201.3473266810696</v>
      </c>
      <c r="AT50" s="28">
        <v>6.2099282309999997E-2</v>
      </c>
      <c r="AU50" s="5">
        <v>37.343670209999999</v>
      </c>
      <c r="AV50" s="5">
        <v>-12.074440170000001</v>
      </c>
      <c r="CE50" s="5">
        <v>1.31083006</v>
      </c>
      <c r="CF50" s="9">
        <v>1.389553018</v>
      </c>
      <c r="CG50" s="2">
        <f t="shared" si="0"/>
        <v>190.41591447709698</v>
      </c>
      <c r="CH50" s="2">
        <f t="shared" si="1"/>
        <v>201.85149601839311</v>
      </c>
      <c r="CI50" s="5">
        <v>-0.12862169439999999</v>
      </c>
      <c r="CJ50" s="20">
        <f t="shared" si="5"/>
        <v>-0.1470541599138466</v>
      </c>
    </row>
    <row r="51" spans="1:88" x14ac:dyDescent="0.25">
      <c r="A51" s="5">
        <v>1.31083006</v>
      </c>
      <c r="B51" s="6"/>
      <c r="C51" s="5">
        <v>-0.12862169439999999</v>
      </c>
      <c r="D51" s="5"/>
      <c r="E51" s="10">
        <f t="shared" si="2"/>
        <v>-0.14699622217142855</v>
      </c>
      <c r="F51" s="5"/>
      <c r="G51" s="3">
        <f t="shared" si="3"/>
        <v>190.41591447709698</v>
      </c>
      <c r="H51" s="25">
        <v>0.1174711058</v>
      </c>
      <c r="I51" s="5">
        <v>45.545269189999999</v>
      </c>
      <c r="J51" s="5">
        <v>-15.222038449999999</v>
      </c>
      <c r="K51" s="4"/>
      <c r="AM51" s="9">
        <v>1.389553018</v>
      </c>
      <c r="AN51" s="6"/>
      <c r="AO51" s="5">
        <v>-0.12862169439999999</v>
      </c>
      <c r="AP51" s="5"/>
      <c r="AQ51" s="10">
        <f t="shared" si="4"/>
        <v>-0.14699622217142855</v>
      </c>
      <c r="AR51" s="5"/>
      <c r="AS51" s="3">
        <f t="shared" si="6"/>
        <v>201.85149601839311</v>
      </c>
      <c r="AT51" s="28">
        <v>6.2099282309999997E-2</v>
      </c>
      <c r="AU51" s="5">
        <v>39.045268950000001</v>
      </c>
      <c r="AV51" s="5">
        <v>-13.081154229999999</v>
      </c>
      <c r="CE51" s="5">
        <v>1.3136914260000001</v>
      </c>
      <c r="CF51" s="9">
        <v>1.392395359</v>
      </c>
      <c r="CG51" s="2">
        <f t="shared" si="0"/>
        <v>190.83156684895644</v>
      </c>
      <c r="CH51" s="2">
        <f t="shared" si="1"/>
        <v>202.26438474995817</v>
      </c>
      <c r="CI51" s="5">
        <v>-0.1008708755</v>
      </c>
      <c r="CJ51" s="20">
        <f t="shared" si="5"/>
        <v>-0.11532643793585969</v>
      </c>
    </row>
    <row r="52" spans="1:88" x14ac:dyDescent="0.25">
      <c r="A52" s="5">
        <v>1.3136914260000001</v>
      </c>
      <c r="B52" s="6"/>
      <c r="C52" s="5">
        <v>-0.1008708755</v>
      </c>
      <c r="D52" s="5"/>
      <c r="E52" s="10">
        <f t="shared" si="2"/>
        <v>-0.11528100057142857</v>
      </c>
      <c r="F52" s="5"/>
      <c r="G52" s="3">
        <f t="shared" si="3"/>
        <v>190.83156684895644</v>
      </c>
      <c r="H52" s="25">
        <v>0.1174711058</v>
      </c>
      <c r="I52" s="5">
        <v>47.596289259999999</v>
      </c>
      <c r="J52" s="5">
        <v>-16.480963670000001</v>
      </c>
      <c r="K52" s="4"/>
      <c r="AM52" s="9">
        <v>1.392395359</v>
      </c>
      <c r="AN52" s="6"/>
      <c r="AO52" s="5">
        <v>-0.1008708755</v>
      </c>
      <c r="AP52" s="5"/>
      <c r="AQ52" s="10">
        <f t="shared" si="4"/>
        <v>-0.11528100057142857</v>
      </c>
      <c r="AR52" s="5"/>
      <c r="AS52" s="3">
        <f t="shared" si="6"/>
        <v>202.26438474995817</v>
      </c>
      <c r="AT52" s="28">
        <v>6.2099282309999997E-2</v>
      </c>
      <c r="AU52" s="5">
        <v>40.794421640000003</v>
      </c>
      <c r="AV52" s="5">
        <v>-14.160169570000001</v>
      </c>
      <c r="CE52" s="5">
        <v>1.315877921</v>
      </c>
      <c r="CF52" s="9">
        <v>1.3945653280000001</v>
      </c>
      <c r="CG52" s="2">
        <f t="shared" si="0"/>
        <v>191.14918501902235</v>
      </c>
      <c r="CH52" s="2">
        <f t="shared" si="1"/>
        <v>202.57960229350607</v>
      </c>
      <c r="CI52" s="5">
        <v>-7.2498154179999996E-2</v>
      </c>
      <c r="CJ52" s="20">
        <f t="shared" si="5"/>
        <v>-8.2887690198586175E-2</v>
      </c>
    </row>
    <row r="53" spans="1:88" x14ac:dyDescent="0.25">
      <c r="A53" s="5">
        <v>1.315877921</v>
      </c>
      <c r="B53" s="6"/>
      <c r="C53" s="5">
        <v>-7.2498154179999996E-2</v>
      </c>
      <c r="D53" s="5"/>
      <c r="E53" s="10">
        <f t="shared" si="2"/>
        <v>-8.285503334857143E-2</v>
      </c>
      <c r="F53" s="5"/>
      <c r="G53" s="3">
        <f t="shared" si="3"/>
        <v>191.14918501902235</v>
      </c>
      <c r="H53" s="25">
        <v>0.1174711058</v>
      </c>
      <c r="I53" s="5">
        <v>49.689829529999997</v>
      </c>
      <c r="J53" s="5">
        <v>-17.82029412</v>
      </c>
      <c r="K53" s="4"/>
      <c r="AM53" s="9">
        <v>1.3945653280000001</v>
      </c>
      <c r="AN53" s="6"/>
      <c r="AO53" s="5">
        <v>-7.2498154179999996E-2</v>
      </c>
      <c r="AP53" s="5"/>
      <c r="AQ53" s="10">
        <f t="shared" si="4"/>
        <v>-8.285503334857143E-2</v>
      </c>
      <c r="AR53" s="5"/>
      <c r="AS53" s="3">
        <f t="shared" si="6"/>
        <v>202.57960229350607</v>
      </c>
      <c r="AT53" s="28">
        <v>6.2099282309999997E-2</v>
      </c>
      <c r="AU53" s="5">
        <v>42.579645880000001</v>
      </c>
      <c r="AV53" s="5">
        <v>-15.30785345</v>
      </c>
      <c r="CE53" s="5">
        <v>1.3173548639999999</v>
      </c>
      <c r="CF53" s="9">
        <v>1.3960301020000001</v>
      </c>
      <c r="CG53" s="2">
        <f t="shared" si="0"/>
        <v>191.36373109982821</v>
      </c>
      <c r="CH53" s="2">
        <f t="shared" si="1"/>
        <v>202.79238066136887</v>
      </c>
      <c r="CI53" s="5">
        <v>-4.367845762E-2</v>
      </c>
      <c r="CJ53" s="20">
        <f t="shared" si="5"/>
        <v>-4.9937912275253404E-2</v>
      </c>
    </row>
    <row r="54" spans="1:88" x14ac:dyDescent="0.25">
      <c r="A54" s="5">
        <v>1.3173548639999999</v>
      </c>
      <c r="B54" s="6"/>
      <c r="C54" s="5">
        <v>-4.367845762E-2</v>
      </c>
      <c r="D54" s="5"/>
      <c r="E54" s="10">
        <f t="shared" si="2"/>
        <v>-4.991823728E-2</v>
      </c>
      <c r="F54" s="5"/>
      <c r="G54" s="3">
        <f t="shared" si="3"/>
        <v>191.36373109982821</v>
      </c>
      <c r="H54" s="25">
        <v>0.1174711058</v>
      </c>
      <c r="I54" s="5">
        <v>51.811954010000001</v>
      </c>
      <c r="J54" s="5">
        <v>-19.23431381</v>
      </c>
      <c r="K54" s="4"/>
      <c r="AM54" s="9">
        <v>1.3960301020000001</v>
      </c>
      <c r="AN54" s="6"/>
      <c r="AO54" s="5">
        <v>-4.367845762E-2</v>
      </c>
      <c r="AP54" s="5"/>
      <c r="AQ54" s="10">
        <f t="shared" si="4"/>
        <v>-4.991823728E-2</v>
      </c>
      <c r="AR54" s="5"/>
      <c r="AS54" s="3">
        <f t="shared" si="6"/>
        <v>202.79238066136887</v>
      </c>
      <c r="AT54" s="28">
        <v>6.2099282309999997E-2</v>
      </c>
      <c r="AU54" s="5">
        <v>44.389113330000001</v>
      </c>
      <c r="AV54" s="5">
        <v>-16.519293569999999</v>
      </c>
      <c r="CE54" s="5">
        <v>1.318099119</v>
      </c>
      <c r="CF54" s="9">
        <v>1.3967679099999999</v>
      </c>
      <c r="CG54" s="2">
        <f t="shared" si="0"/>
        <v>191.47184427235433</v>
      </c>
      <c r="CH54" s="2">
        <f t="shared" si="1"/>
        <v>202.89955731936257</v>
      </c>
      <c r="CI54" s="5">
        <v>-1.458946885E-2</v>
      </c>
      <c r="CJ54" s="20">
        <f t="shared" si="5"/>
        <v>-1.6680250523320613E-2</v>
      </c>
    </row>
    <row r="55" spans="1:88" x14ac:dyDescent="0.25">
      <c r="A55" s="5">
        <v>1.318099119</v>
      </c>
      <c r="B55" s="6"/>
      <c r="C55" s="5">
        <v>-1.458946885E-2</v>
      </c>
      <c r="D55" s="5"/>
      <c r="E55" s="10">
        <f t="shared" si="2"/>
        <v>-1.6673678685714285E-2</v>
      </c>
      <c r="F55" s="5"/>
      <c r="G55" s="3">
        <f t="shared" si="3"/>
        <v>191.47184427235433</v>
      </c>
      <c r="H55" s="25">
        <v>0.1174711058</v>
      </c>
      <c r="I55" s="5">
        <v>53.948442399999998</v>
      </c>
      <c r="J55" s="5">
        <v>-20.71577491</v>
      </c>
      <c r="K55" s="4"/>
      <c r="AM55" s="9">
        <v>1.3967679099999999</v>
      </c>
      <c r="AN55" s="6"/>
      <c r="AO55" s="5">
        <v>-1.458946885E-2</v>
      </c>
      <c r="AP55" s="5"/>
      <c r="AQ55" s="10">
        <f t="shared" si="4"/>
        <v>-1.6673678685714285E-2</v>
      </c>
      <c r="AR55" s="5"/>
      <c r="AS55" s="3">
        <f t="shared" si="6"/>
        <v>202.89955731936257</v>
      </c>
      <c r="AT55" s="28">
        <v>6.2099282309999997E-2</v>
      </c>
      <c r="AU55" s="5">
        <v>46.210761460000001</v>
      </c>
      <c r="AV55" s="5">
        <v>-17.788272670000001</v>
      </c>
      <c r="CE55" s="34">
        <v>1.318099119</v>
      </c>
      <c r="CF55" s="38">
        <v>1.3967679099999999</v>
      </c>
      <c r="CG55" s="40">
        <f t="shared" si="0"/>
        <v>191.47184427235433</v>
      </c>
      <c r="CH55" s="40">
        <f t="shared" si="1"/>
        <v>202.89955731936257</v>
      </c>
      <c r="CI55" s="34">
        <v>1.458946885E-2</v>
      </c>
      <c r="CJ55" s="48">
        <f t="shared" si="5"/>
        <v>1.6680250523320613E-2</v>
      </c>
    </row>
    <row r="56" spans="1:88" x14ac:dyDescent="0.25">
      <c r="A56" s="34">
        <v>1.318099119</v>
      </c>
      <c r="B56" s="6"/>
      <c r="C56" s="34">
        <v>1.458946885E-2</v>
      </c>
      <c r="D56" s="5"/>
      <c r="E56" s="35">
        <f t="shared" si="2"/>
        <v>1.6673678685714285E-2</v>
      </c>
      <c r="F56" s="5"/>
      <c r="G56" s="36">
        <f t="shared" si="3"/>
        <v>191.47184427235433</v>
      </c>
      <c r="H56" s="37">
        <v>0.1174711058</v>
      </c>
      <c r="I56" s="34">
        <v>-53.948442399999998</v>
      </c>
      <c r="J56" s="34">
        <v>-20.71577491</v>
      </c>
      <c r="K56" s="4"/>
      <c r="AM56" s="38">
        <v>1.3967679099999999</v>
      </c>
      <c r="AN56" s="6"/>
      <c r="AO56" s="34">
        <v>1.458946885E-2</v>
      </c>
      <c r="AP56" s="5"/>
      <c r="AQ56" s="35">
        <f t="shared" si="4"/>
        <v>1.6673678685714285E-2</v>
      </c>
      <c r="AR56" s="5"/>
      <c r="AS56" s="36">
        <f t="shared" si="6"/>
        <v>202.89955731936257</v>
      </c>
      <c r="AT56" s="39">
        <v>6.2099282309999997E-2</v>
      </c>
      <c r="AU56" s="34">
        <v>-46.210761460000001</v>
      </c>
      <c r="AV56" s="34">
        <v>-17.788272670000001</v>
      </c>
      <c r="CE56" s="5">
        <v>1.3173548639999999</v>
      </c>
      <c r="CF56" s="9">
        <v>1.3960301020000001</v>
      </c>
      <c r="CG56" s="2">
        <f t="shared" si="0"/>
        <v>191.36373109982821</v>
      </c>
      <c r="CH56" s="2">
        <f t="shared" si="1"/>
        <v>202.79238066136887</v>
      </c>
      <c r="CI56" s="5">
        <v>4.367845762E-2</v>
      </c>
      <c r="CJ56" s="20">
        <f t="shared" si="5"/>
        <v>4.9937912275253404E-2</v>
      </c>
    </row>
    <row r="57" spans="1:88" x14ac:dyDescent="0.25">
      <c r="A57" s="5">
        <v>1.3173548639999999</v>
      </c>
      <c r="B57" s="6"/>
      <c r="C57" s="5">
        <v>4.367845762E-2</v>
      </c>
      <c r="D57" s="5"/>
      <c r="E57" s="10">
        <f t="shared" si="2"/>
        <v>4.991823728E-2</v>
      </c>
      <c r="F57" s="5"/>
      <c r="G57" s="3">
        <f t="shared" si="3"/>
        <v>191.36373109982821</v>
      </c>
      <c r="H57" s="25">
        <v>0.1174711058</v>
      </c>
      <c r="I57" s="5">
        <v>-51.811954010000001</v>
      </c>
      <c r="J57" s="5">
        <v>-19.23431381</v>
      </c>
      <c r="K57" s="4"/>
      <c r="AM57" s="9">
        <v>1.3960301020000001</v>
      </c>
      <c r="AN57" s="6"/>
      <c r="AO57" s="5">
        <v>4.367845762E-2</v>
      </c>
      <c r="AP57" s="5"/>
      <c r="AQ57" s="10">
        <f t="shared" si="4"/>
        <v>4.991823728E-2</v>
      </c>
      <c r="AR57" s="5"/>
      <c r="AS57" s="3">
        <f t="shared" si="6"/>
        <v>202.79238066136887</v>
      </c>
      <c r="AT57" s="28">
        <v>6.2099282309999997E-2</v>
      </c>
      <c r="AU57" s="5">
        <v>-44.389113330000001</v>
      </c>
      <c r="AV57" s="5">
        <v>-16.519293569999999</v>
      </c>
      <c r="CE57" s="5">
        <v>1.315877921</v>
      </c>
      <c r="CF57" s="9">
        <v>1.3945653280000001</v>
      </c>
      <c r="CG57" s="2">
        <f t="shared" si="0"/>
        <v>191.14918501902235</v>
      </c>
      <c r="CH57" s="2">
        <f t="shared" si="1"/>
        <v>202.57960229350607</v>
      </c>
      <c r="CI57" s="5">
        <v>7.2498154179999996E-2</v>
      </c>
      <c r="CJ57" s="20">
        <f t="shared" si="5"/>
        <v>8.2887690198586175E-2</v>
      </c>
    </row>
    <row r="58" spans="1:88" x14ac:dyDescent="0.25">
      <c r="A58" s="5">
        <v>1.315877921</v>
      </c>
      <c r="B58" s="6"/>
      <c r="C58" s="5">
        <v>7.2498154179999996E-2</v>
      </c>
      <c r="D58" s="5"/>
      <c r="E58" s="10">
        <f t="shared" si="2"/>
        <v>8.285503334857143E-2</v>
      </c>
      <c r="F58" s="5"/>
      <c r="G58" s="3">
        <f t="shared" si="3"/>
        <v>191.14918501902235</v>
      </c>
      <c r="H58" s="25">
        <v>0.1174711058</v>
      </c>
      <c r="I58" s="5">
        <v>-49.689829529999997</v>
      </c>
      <c r="J58" s="5">
        <v>-17.82029412</v>
      </c>
      <c r="K58" s="4"/>
      <c r="AM58" s="9">
        <v>1.3945653280000001</v>
      </c>
      <c r="AN58" s="6"/>
      <c r="AO58" s="5">
        <v>7.2498154179999996E-2</v>
      </c>
      <c r="AP58" s="5"/>
      <c r="AQ58" s="10">
        <f t="shared" si="4"/>
        <v>8.285503334857143E-2</v>
      </c>
      <c r="AR58" s="5"/>
      <c r="AS58" s="3">
        <f t="shared" si="6"/>
        <v>202.57960229350607</v>
      </c>
      <c r="AT58" s="28">
        <v>6.2099282309999997E-2</v>
      </c>
      <c r="AU58" s="5">
        <v>-42.579645880000001</v>
      </c>
      <c r="AV58" s="5">
        <v>-15.30785345</v>
      </c>
      <c r="CE58" s="5">
        <v>1.3136914260000001</v>
      </c>
      <c r="CF58" s="9">
        <v>1.392395359</v>
      </c>
      <c r="CG58" s="2">
        <f t="shared" si="0"/>
        <v>190.83156684895644</v>
      </c>
      <c r="CH58" s="2">
        <f t="shared" si="1"/>
        <v>202.26438474995817</v>
      </c>
      <c r="CI58" s="5">
        <v>0.1008708755</v>
      </c>
      <c r="CJ58" s="20">
        <f t="shared" si="5"/>
        <v>0.11532643793585969</v>
      </c>
    </row>
    <row r="59" spans="1:88" x14ac:dyDescent="0.25">
      <c r="A59" s="5">
        <v>1.3136914260000001</v>
      </c>
      <c r="B59" s="6"/>
      <c r="C59" s="5">
        <v>0.1008708755</v>
      </c>
      <c r="D59" s="5"/>
      <c r="E59" s="10">
        <f t="shared" si="2"/>
        <v>0.11528100057142857</v>
      </c>
      <c r="F59" s="5"/>
      <c r="G59" s="3">
        <f t="shared" si="3"/>
        <v>190.83156684895644</v>
      </c>
      <c r="H59" s="25">
        <v>0.1174711058</v>
      </c>
      <c r="I59" s="5">
        <v>-47.596289259999999</v>
      </c>
      <c r="J59" s="5">
        <v>-16.480963670000001</v>
      </c>
      <c r="K59" s="4"/>
      <c r="AM59" s="9">
        <v>1.392395359</v>
      </c>
      <c r="AN59" s="6"/>
      <c r="AO59" s="5">
        <v>0.1008708755</v>
      </c>
      <c r="AP59" s="5"/>
      <c r="AQ59" s="10">
        <f t="shared" si="4"/>
        <v>0.11528100057142857</v>
      </c>
      <c r="AR59" s="5"/>
      <c r="AS59" s="3">
        <f t="shared" si="6"/>
        <v>202.26438474995817</v>
      </c>
      <c r="AT59" s="28">
        <v>6.2099282309999997E-2</v>
      </c>
      <c r="AU59" s="5">
        <v>-40.794421640000003</v>
      </c>
      <c r="AV59" s="5">
        <v>-14.160169570000001</v>
      </c>
      <c r="CE59" s="5">
        <v>1.31083006</v>
      </c>
      <c r="CF59" s="9">
        <v>1.389553018</v>
      </c>
      <c r="CG59" s="2">
        <f t="shared" si="0"/>
        <v>190.41591447709698</v>
      </c>
      <c r="CH59" s="2">
        <f t="shared" si="1"/>
        <v>201.85149601839311</v>
      </c>
      <c r="CI59" s="5">
        <v>0.12862169439999999</v>
      </c>
      <c r="CJ59" s="20">
        <f t="shared" si="5"/>
        <v>0.1470541599138466</v>
      </c>
    </row>
    <row r="60" spans="1:88" x14ac:dyDescent="0.25">
      <c r="A60" s="5">
        <v>1.31083006</v>
      </c>
      <c r="B60" s="6"/>
      <c r="C60" s="5">
        <v>0.12862169439999999</v>
      </c>
      <c r="D60" s="5"/>
      <c r="E60" s="10">
        <f t="shared" si="2"/>
        <v>0.14699622217142855</v>
      </c>
      <c r="F60" s="5"/>
      <c r="G60" s="3">
        <f t="shared" si="3"/>
        <v>190.41591447709698</v>
      </c>
      <c r="H60" s="25">
        <v>0.1174711058</v>
      </c>
      <c r="I60" s="5">
        <v>-45.545269189999999</v>
      </c>
      <c r="J60" s="5">
        <v>-15.222038449999999</v>
      </c>
      <c r="K60" s="4"/>
      <c r="AM60" s="9">
        <v>1.389553018</v>
      </c>
      <c r="AN60" s="6"/>
      <c r="AO60" s="5">
        <v>0.12862169439999999</v>
      </c>
      <c r="AP60" s="5"/>
      <c r="AQ60" s="10">
        <f t="shared" si="4"/>
        <v>0.14699622217142855</v>
      </c>
      <c r="AR60" s="5"/>
      <c r="AS60" s="3">
        <f t="shared" si="6"/>
        <v>201.85149601839311</v>
      </c>
      <c r="AT60" s="28">
        <v>6.2099282309999997E-2</v>
      </c>
      <c r="AU60" s="5">
        <v>-39.045268950000001</v>
      </c>
      <c r="AV60" s="5">
        <v>-13.081154229999999</v>
      </c>
      <c r="CE60" s="5">
        <v>1.3073399560000001</v>
      </c>
      <c r="CF60" s="9">
        <v>1.386082298</v>
      </c>
      <c r="CG60" s="2">
        <f t="shared" si="0"/>
        <v>189.90892934984092</v>
      </c>
      <c r="CH60" s="2">
        <f t="shared" si="1"/>
        <v>201.3473266810696</v>
      </c>
      <c r="CI60" s="5">
        <v>0.1555795177</v>
      </c>
      <c r="CJ60" s="20">
        <f t="shared" si="5"/>
        <v>0.17787524400063359</v>
      </c>
    </row>
    <row r="61" spans="1:88" x14ac:dyDescent="0.25">
      <c r="A61" s="5">
        <v>1.3073399560000001</v>
      </c>
      <c r="B61" s="6"/>
      <c r="C61" s="5">
        <v>0.1555795177</v>
      </c>
      <c r="D61" s="5"/>
      <c r="E61" s="10">
        <f t="shared" si="2"/>
        <v>0.17780516308571429</v>
      </c>
      <c r="F61" s="5"/>
      <c r="G61" s="3">
        <f t="shared" si="3"/>
        <v>189.90892934984092</v>
      </c>
      <c r="H61" s="25">
        <v>0.1174711058</v>
      </c>
      <c r="I61" s="5">
        <v>-43.550285989999999</v>
      </c>
      <c r="J61" s="5">
        <v>-14.047733239999999</v>
      </c>
      <c r="K61" s="4"/>
      <c r="AM61" s="9">
        <v>1.386082298</v>
      </c>
      <c r="AN61" s="6"/>
      <c r="AO61" s="5">
        <v>0.1555795177</v>
      </c>
      <c r="AP61" s="5"/>
      <c r="AQ61" s="10">
        <f t="shared" si="4"/>
        <v>0.17780516308571429</v>
      </c>
      <c r="AR61" s="5"/>
      <c r="AS61" s="3">
        <f t="shared" si="6"/>
        <v>201.3473266810696</v>
      </c>
      <c r="AT61" s="28">
        <v>6.2099282309999997E-2</v>
      </c>
      <c r="AU61" s="5">
        <v>-37.343670209999999</v>
      </c>
      <c r="AV61" s="5">
        <v>-12.074440170000001</v>
      </c>
      <c r="CE61" s="5">
        <v>1.303278444</v>
      </c>
      <c r="CF61" s="9">
        <v>1.382038372</v>
      </c>
      <c r="CG61" s="2">
        <f t="shared" si="0"/>
        <v>189.31893943029354</v>
      </c>
      <c r="CH61" s="2">
        <f t="shared" si="1"/>
        <v>200.75989136747316</v>
      </c>
      <c r="CI61" s="5">
        <v>0.18157814150000001</v>
      </c>
      <c r="CJ61" s="20">
        <f t="shared" si="5"/>
        <v>0.20759966801525878</v>
      </c>
    </row>
    <row r="62" spans="1:88" x14ac:dyDescent="0.25">
      <c r="A62" s="5">
        <v>1.303278444</v>
      </c>
      <c r="B62" s="6"/>
      <c r="C62" s="5">
        <v>0.18157814150000001</v>
      </c>
      <c r="D62" s="5"/>
      <c r="E62" s="10">
        <f t="shared" si="2"/>
        <v>0.20751787600000002</v>
      </c>
      <c r="F62" s="5"/>
      <c r="G62" s="3">
        <f t="shared" si="3"/>
        <v>189.31893943029354</v>
      </c>
      <c r="H62" s="25">
        <v>0.1174711058</v>
      </c>
      <c r="I62" s="5">
        <v>-41.624310559999998</v>
      </c>
      <c r="J62" s="5">
        <v>-12.960828129999999</v>
      </c>
      <c r="K62" s="4"/>
      <c r="AM62" s="9">
        <v>1.382038372</v>
      </c>
      <c r="AN62" s="6"/>
      <c r="AO62" s="5">
        <v>0.18157814150000001</v>
      </c>
      <c r="AP62" s="5"/>
      <c r="AQ62" s="10">
        <f t="shared" si="4"/>
        <v>0.20751787600000002</v>
      </c>
      <c r="AR62" s="5"/>
      <c r="AS62" s="3">
        <f t="shared" si="6"/>
        <v>200.75989136747316</v>
      </c>
      <c r="AT62" s="28">
        <v>6.2099282309999997E-2</v>
      </c>
      <c r="AU62" s="5">
        <v>-35.700656690000002</v>
      </c>
      <c r="AV62" s="5">
        <v>-11.14243651</v>
      </c>
      <c r="CE62" s="5">
        <v>1.2987135400000001</v>
      </c>
      <c r="CF62" s="9">
        <v>1.377487363</v>
      </c>
      <c r="CG62" s="2">
        <f t="shared" si="0"/>
        <v>188.65582496856067</v>
      </c>
      <c r="CH62" s="2">
        <f t="shared" si="1"/>
        <v>200.09879534368463</v>
      </c>
      <c r="CI62" s="5">
        <v>0.20645727580000001</v>
      </c>
      <c r="CJ62" s="20">
        <f t="shared" si="5"/>
        <v>0.23604417118353818</v>
      </c>
    </row>
    <row r="63" spans="1:88" x14ac:dyDescent="0.25">
      <c r="A63" s="5">
        <v>1.2987135400000001</v>
      </c>
      <c r="B63" s="6"/>
      <c r="C63" s="5">
        <v>0.20645727580000001</v>
      </c>
      <c r="D63" s="5"/>
      <c r="E63" s="10">
        <f t="shared" si="2"/>
        <v>0.23595117234285715</v>
      </c>
      <c r="F63" s="5"/>
      <c r="G63" s="3">
        <f t="shared" si="3"/>
        <v>188.65582496856067</v>
      </c>
      <c r="H63" s="25">
        <v>0.1174711058</v>
      </c>
      <c r="I63" s="5">
        <v>-39.779652779999999</v>
      </c>
      <c r="J63" s="5">
        <v>-11.962767789999999</v>
      </c>
      <c r="K63" s="4"/>
      <c r="AM63" s="9">
        <v>1.377487363</v>
      </c>
      <c r="AN63" s="6"/>
      <c r="AO63" s="5">
        <v>0.20645727580000001</v>
      </c>
      <c r="AP63" s="5"/>
      <c r="AQ63" s="10">
        <f t="shared" si="4"/>
        <v>0.23595117234285715</v>
      </c>
      <c r="AR63" s="5"/>
      <c r="AS63" s="3">
        <f t="shared" si="6"/>
        <v>200.09879534368463</v>
      </c>
      <c r="AT63" s="28">
        <v>6.2099282309999997E-2</v>
      </c>
      <c r="AU63" s="5">
        <v>-34.12671186</v>
      </c>
      <c r="AV63" s="5">
        <v>-10.28641249</v>
      </c>
      <c r="CE63" s="5">
        <v>1.2937230710000001</v>
      </c>
      <c r="CF63" s="9">
        <v>1.3725057430000001</v>
      </c>
      <c r="CG63" s="2">
        <f t="shared" si="0"/>
        <v>187.93089139608477</v>
      </c>
      <c r="CH63" s="2">
        <f t="shared" si="1"/>
        <v>199.37514720894671</v>
      </c>
      <c r="CI63" s="5">
        <v>0.23006353230000001</v>
      </c>
      <c r="CJ63" s="20">
        <f t="shared" si="5"/>
        <v>0.26303338349730693</v>
      </c>
    </row>
    <row r="64" spans="1:88" x14ac:dyDescent="0.25">
      <c r="A64" s="5">
        <v>1.2937230710000001</v>
      </c>
      <c r="B64" s="6"/>
      <c r="C64" s="5">
        <v>0.23006353230000001</v>
      </c>
      <c r="D64" s="5"/>
      <c r="E64" s="10">
        <f t="shared" si="2"/>
        <v>0.26292975120000001</v>
      </c>
      <c r="F64" s="5"/>
      <c r="G64" s="3">
        <f t="shared" si="3"/>
        <v>187.93089139608477</v>
      </c>
      <c r="H64" s="25">
        <v>0.1174711058</v>
      </c>
      <c r="I64" s="5">
        <v>-38.027860070000003</v>
      </c>
      <c r="J64" s="5">
        <v>-11.05378917</v>
      </c>
      <c r="K64" s="4"/>
      <c r="AM64" s="9">
        <v>1.3725057430000001</v>
      </c>
      <c r="AN64" s="6"/>
      <c r="AO64" s="5">
        <v>0.23006353230000001</v>
      </c>
      <c r="AP64" s="5"/>
      <c r="AQ64" s="10">
        <f t="shared" si="4"/>
        <v>0.26292975120000001</v>
      </c>
      <c r="AR64" s="5"/>
      <c r="AS64" s="3">
        <f t="shared" si="6"/>
        <v>199.37514720894671</v>
      </c>
      <c r="AT64" s="28">
        <v>6.2099282309999997E-2</v>
      </c>
      <c r="AU64" s="5">
        <v>-32.631685539999999</v>
      </c>
      <c r="AV64" s="5">
        <v>-9.5066054990000008</v>
      </c>
      <c r="CE64" s="5">
        <v>1.2883932709999999</v>
      </c>
      <c r="CF64" s="9">
        <v>1.3671791689999999</v>
      </c>
      <c r="CG64" s="2">
        <f t="shared" si="0"/>
        <v>187.15666537552795</v>
      </c>
      <c r="CH64" s="2">
        <f t="shared" si="1"/>
        <v>198.6013898088151</v>
      </c>
      <c r="CI64" s="5">
        <v>0.25225137050000002</v>
      </c>
      <c r="CJ64" s="20">
        <f t="shared" si="5"/>
        <v>0.28840090739773344</v>
      </c>
    </row>
    <row r="65" spans="1:88" x14ac:dyDescent="0.25">
      <c r="A65" s="5">
        <v>1.2883932709999999</v>
      </c>
      <c r="B65" s="6"/>
      <c r="C65" s="5">
        <v>0.25225137050000002</v>
      </c>
      <c r="D65" s="5"/>
      <c r="E65" s="10">
        <f t="shared" si="2"/>
        <v>0.28828728057142861</v>
      </c>
      <c r="F65" s="5"/>
      <c r="G65" s="3">
        <f t="shared" si="3"/>
        <v>187.15666537552795</v>
      </c>
      <c r="H65" s="25">
        <v>0.1174711058</v>
      </c>
      <c r="I65" s="5">
        <v>-36.379631930000002</v>
      </c>
      <c r="J65" s="5">
        <v>-10.23307271</v>
      </c>
      <c r="K65" s="4"/>
      <c r="AM65" s="9">
        <v>1.3671791689999999</v>
      </c>
      <c r="AN65" s="6"/>
      <c r="AO65" s="5">
        <v>0.25225137050000002</v>
      </c>
      <c r="AP65" s="5"/>
      <c r="AQ65" s="10">
        <f t="shared" si="4"/>
        <v>0.28828728057142861</v>
      </c>
      <c r="AR65" s="5"/>
      <c r="AS65" s="3">
        <f t="shared" si="6"/>
        <v>198.6013898088151</v>
      </c>
      <c r="AT65" s="28">
        <v>6.2099282309999997E-2</v>
      </c>
      <c r="AU65" s="5">
        <v>-31.224720569999999</v>
      </c>
      <c r="AV65" s="5">
        <v>-8.8023491600000003</v>
      </c>
      <c r="CE65" s="5">
        <v>1.2828166990000001</v>
      </c>
      <c r="CF65" s="9">
        <v>1.361600564</v>
      </c>
      <c r="CG65" s="2">
        <f t="shared" si="0"/>
        <v>186.3465923619236</v>
      </c>
      <c r="CH65" s="2">
        <f t="shared" si="1"/>
        <v>197.79102147427943</v>
      </c>
      <c r="CI65" s="5">
        <v>0.27288399530000002</v>
      </c>
      <c r="CJ65" s="20">
        <f t="shared" si="5"/>
        <v>0.31199034400821551</v>
      </c>
    </row>
    <row r="66" spans="1:88" x14ac:dyDescent="0.25">
      <c r="A66" s="5">
        <v>1.2828166990000001</v>
      </c>
      <c r="B66" s="6"/>
      <c r="C66" s="5">
        <v>0.27288399530000002</v>
      </c>
      <c r="D66" s="5"/>
      <c r="E66" s="10">
        <f t="shared" si="2"/>
        <v>0.31186742319999999</v>
      </c>
      <c r="F66" s="5"/>
      <c r="G66" s="3">
        <f t="shared" si="3"/>
        <v>186.3465923619236</v>
      </c>
      <c r="H66" s="25">
        <v>0.1174711058</v>
      </c>
      <c r="I66" s="5">
        <v>-34.844752200000002</v>
      </c>
      <c r="J66" s="5">
        <v>-9.4989114889999993</v>
      </c>
      <c r="K66" s="4"/>
      <c r="AM66" s="9">
        <v>1.361600564</v>
      </c>
      <c r="AN66" s="6"/>
      <c r="AO66" s="5">
        <v>0.27288399530000002</v>
      </c>
      <c r="AP66" s="5"/>
      <c r="AQ66" s="10">
        <f t="shared" si="4"/>
        <v>0.31186742319999999</v>
      </c>
      <c r="AR66" s="5"/>
      <c r="AS66" s="3">
        <f t="shared" si="6"/>
        <v>197.79102147427943</v>
      </c>
      <c r="AT66" s="28">
        <v>6.2099282309999997E-2</v>
      </c>
      <c r="AU66" s="5">
        <v>-29.914193919999999</v>
      </c>
      <c r="AV66" s="5">
        <v>-8.1722169220000005</v>
      </c>
      <c r="CE66" s="5">
        <v>1.277089253</v>
      </c>
      <c r="CF66" s="9">
        <v>1.355867208</v>
      </c>
      <c r="CG66" s="2">
        <f t="shared" si="0"/>
        <v>185.51460284551885</v>
      </c>
      <c r="CH66" s="2">
        <f t="shared" si="1"/>
        <v>196.95817344990417</v>
      </c>
      <c r="CI66" s="5">
        <v>0.29183419939999999</v>
      </c>
      <c r="CJ66" s="20">
        <f t="shared" si="5"/>
        <v>0.3336562562566972</v>
      </c>
    </row>
    <row r="67" spans="1:88" x14ac:dyDescent="0.25">
      <c r="A67" s="5">
        <v>1.277089253</v>
      </c>
      <c r="B67" s="6"/>
      <c r="C67" s="5">
        <v>0.29183419939999999</v>
      </c>
      <c r="D67" s="5"/>
      <c r="E67" s="10">
        <f t="shared" si="2"/>
        <v>0.33352479931428569</v>
      </c>
      <c r="F67" s="5"/>
      <c r="G67" s="3">
        <f t="shared" si="3"/>
        <v>185.51460284551885</v>
      </c>
      <c r="H67" s="25">
        <v>0.1174711058</v>
      </c>
      <c r="I67" s="5">
        <v>-33.43204034</v>
      </c>
      <c r="J67" s="5">
        <v>-8.8488925829999996</v>
      </c>
      <c r="K67" s="4"/>
      <c r="AM67" s="9">
        <v>1.355867208</v>
      </c>
      <c r="AN67" s="6"/>
      <c r="AO67" s="5">
        <v>0.29183419939999999</v>
      </c>
      <c r="AP67" s="5"/>
      <c r="AQ67" s="10">
        <f t="shared" si="4"/>
        <v>0.33352479931428569</v>
      </c>
      <c r="AR67" s="5"/>
      <c r="AS67" s="3">
        <f t="shared" si="6"/>
        <v>196.95817344990417</v>
      </c>
      <c r="AT67" s="28">
        <v>6.2099282309999997E-2</v>
      </c>
      <c r="AU67" s="5">
        <v>-28.707673100000001</v>
      </c>
      <c r="AV67" s="5">
        <v>-7.6141761739999998</v>
      </c>
      <c r="CE67" s="5">
        <v>1.271305951</v>
      </c>
      <c r="CF67" s="9">
        <v>1.3500764970000001</v>
      </c>
      <c r="CG67" s="2">
        <f t="shared" si="0"/>
        <v>184.67449948457883</v>
      </c>
      <c r="CH67" s="2">
        <f t="shared" si="1"/>
        <v>196.1169938308332</v>
      </c>
      <c r="CI67" s="5">
        <v>0.30898514869999999</v>
      </c>
      <c r="CJ67" s="20">
        <f t="shared" si="5"/>
        <v>0.35326506682945291</v>
      </c>
    </row>
    <row r="68" spans="1:88" x14ac:dyDescent="0.25">
      <c r="A68" s="5">
        <v>1.271305951</v>
      </c>
      <c r="B68" s="6"/>
      <c r="C68" s="5">
        <v>0.30898514869999999</v>
      </c>
      <c r="D68" s="5"/>
      <c r="E68" s="10">
        <f t="shared" si="2"/>
        <v>0.35312588422857144</v>
      </c>
      <c r="F68" s="5"/>
      <c r="G68" s="3">
        <f t="shared" si="3"/>
        <v>184.67449948457883</v>
      </c>
      <c r="H68" s="25">
        <v>0.1174711058</v>
      </c>
      <c r="I68" s="5">
        <v>-32.149321929999999</v>
      </c>
      <c r="J68" s="5">
        <v>-8.2800845269999996</v>
      </c>
      <c r="K68" s="4"/>
      <c r="AM68" s="9">
        <v>1.3500764970000001</v>
      </c>
      <c r="AN68" s="6"/>
      <c r="AO68" s="5">
        <v>0.30898514869999999</v>
      </c>
      <c r="AP68" s="5"/>
      <c r="AQ68" s="10">
        <f t="shared" si="4"/>
        <v>0.35312588422857144</v>
      </c>
      <c r="AR68" s="5"/>
      <c r="AS68" s="3">
        <f t="shared" si="6"/>
        <v>196.1169938308332</v>
      </c>
      <c r="AT68" s="28">
        <v>6.2099282309999997E-2</v>
      </c>
      <c r="AU68" s="5">
        <v>-27.611888709999999</v>
      </c>
      <c r="AV68" s="5">
        <v>-7.1257478409999999</v>
      </c>
      <c r="CE68" s="5">
        <v>1.2655549939999999</v>
      </c>
      <c r="CF68" s="9">
        <v>1.344319853</v>
      </c>
      <c r="CG68" s="2">
        <f t="shared" si="0"/>
        <v>183.8390946752983</v>
      </c>
      <c r="CH68" s="2">
        <f t="shared" si="1"/>
        <v>195.28076290736846</v>
      </c>
      <c r="CI68" s="5">
        <v>0.32423110170000002</v>
      </c>
      <c r="CJ68" s="20">
        <f t="shared" si="5"/>
        <v>0.37069588066657022</v>
      </c>
    </row>
    <row r="69" spans="1:88" x14ac:dyDescent="0.25">
      <c r="A69" s="5">
        <v>1.2655549939999999</v>
      </c>
      <c r="B69" s="6"/>
      <c r="C69" s="5">
        <v>0.32423110170000002</v>
      </c>
      <c r="D69" s="5"/>
      <c r="E69" s="10">
        <f t="shared" si="2"/>
        <v>0.37054983051428575</v>
      </c>
      <c r="F69" s="5"/>
      <c r="G69" s="3">
        <f t="shared" si="3"/>
        <v>183.8390946752983</v>
      </c>
      <c r="H69" s="25">
        <v>0.1174711058</v>
      </c>
      <c r="I69" s="5">
        <v>-31.003417819999999</v>
      </c>
      <c r="J69" s="5">
        <v>-7.78922516</v>
      </c>
      <c r="K69" s="4"/>
      <c r="AM69" s="9">
        <v>1.344319853</v>
      </c>
      <c r="AN69" s="6"/>
      <c r="AO69" s="5">
        <v>0.32423110170000002</v>
      </c>
      <c r="AP69" s="5"/>
      <c r="AQ69" s="10">
        <f t="shared" si="4"/>
        <v>0.37054983051428575</v>
      </c>
      <c r="AR69" s="5"/>
      <c r="AS69" s="3">
        <f t="shared" si="6"/>
        <v>195.28076290736846</v>
      </c>
      <c r="AT69" s="28">
        <v>6.2099282309999997E-2</v>
      </c>
      <c r="AU69" s="5">
        <v>-26.632722609999998</v>
      </c>
      <c r="AV69" s="5">
        <v>-6.7041665009999996</v>
      </c>
      <c r="CE69" s="5">
        <v>1.2599094580000001</v>
      </c>
      <c r="CF69" s="9">
        <v>1.3386738899999999</v>
      </c>
      <c r="CG69" s="2">
        <f t="shared" ref="CG69:CG132" si="7">1/2*$CB$5*($CC$5)^2*$CD$5*CE69</f>
        <v>183.01900370168016</v>
      </c>
      <c r="CH69" s="2">
        <f t="shared" ref="CH69:CH132" si="8">1/2*$CB$5*($CC$5)^2*$CD$5*CF69</f>
        <v>194.46060990618625</v>
      </c>
      <c r="CI69" s="5">
        <v>0.33747806219999998</v>
      </c>
      <c r="CJ69" s="20">
        <f t="shared" si="5"/>
        <v>0.38584123119881608</v>
      </c>
    </row>
    <row r="70" spans="1:88" x14ac:dyDescent="0.25">
      <c r="A70" s="5">
        <v>1.2599094580000001</v>
      </c>
      <c r="B70" s="6"/>
      <c r="C70" s="5">
        <v>0.33747806219999998</v>
      </c>
      <c r="D70" s="5"/>
      <c r="E70" s="10">
        <f t="shared" ref="E70:E133" si="9">-(C70/$C$6)</f>
        <v>0.3856892139428571</v>
      </c>
      <c r="F70" s="5"/>
      <c r="G70" s="3">
        <f t="shared" ref="G70:G133" si="10">1/2*$CB$5*($CC$5)^2*$CD$5*A70</f>
        <v>183.01900370168016</v>
      </c>
      <c r="H70" s="25">
        <v>0.1174711058</v>
      </c>
      <c r="I70" s="5">
        <v>-30.0001502</v>
      </c>
      <c r="J70" s="5">
        <v>-7.3729042600000003</v>
      </c>
      <c r="K70" s="4"/>
      <c r="AM70" s="9">
        <v>1.3386738899999999</v>
      </c>
      <c r="AN70" s="6"/>
      <c r="AO70" s="5">
        <v>0.33747806219999998</v>
      </c>
      <c r="AP70" s="5"/>
      <c r="AQ70" s="10">
        <f t="shared" ref="AQ70:AQ133" si="11">-(AO70/$C$6)</f>
        <v>0.3856892139428571</v>
      </c>
      <c r="AR70" s="5"/>
      <c r="AS70" s="3">
        <f t="shared" ref="AS70:AS133" si="12">1/2*$CB$5*($CC$5)^2*$CD$5*AM70</f>
        <v>194.46060990618625</v>
      </c>
      <c r="AT70" s="28">
        <v>6.2099282309999997E-2</v>
      </c>
      <c r="AU70" s="5">
        <v>-25.7752105</v>
      </c>
      <c r="AV70" s="5">
        <v>-6.3465362839999999</v>
      </c>
      <c r="CE70" s="5">
        <v>1.254416368</v>
      </c>
      <c r="CF70" s="9">
        <v>1.333187795</v>
      </c>
      <c r="CG70" s="2">
        <f t="shared" si="7"/>
        <v>182.22105758526669</v>
      </c>
      <c r="CH70" s="2">
        <f t="shared" si="8"/>
        <v>193.66367990876674</v>
      </c>
      <c r="CI70" s="5">
        <v>0.34864435830000001</v>
      </c>
      <c r="CJ70" s="20">
        <f t="shared" ref="CJ70:CJ133" si="13">-(CI70/$CI$5)</f>
        <v>0.39860774232273399</v>
      </c>
    </row>
    <row r="71" spans="1:88" x14ac:dyDescent="0.25">
      <c r="A71" s="5">
        <v>1.254416368</v>
      </c>
      <c r="B71" s="6"/>
      <c r="C71" s="5">
        <v>0.34864435830000001</v>
      </c>
      <c r="D71" s="5"/>
      <c r="E71" s="10">
        <f t="shared" si="9"/>
        <v>0.39845069520000004</v>
      </c>
      <c r="F71" s="5"/>
      <c r="G71" s="3">
        <f t="shared" si="10"/>
        <v>182.22105758526669</v>
      </c>
      <c r="H71" s="25">
        <v>0.1174711058</v>
      </c>
      <c r="I71" s="5">
        <v>-29.143839310000001</v>
      </c>
      <c r="J71" s="5">
        <v>-7.0277359449999999</v>
      </c>
      <c r="K71" s="4"/>
      <c r="AM71" s="9">
        <v>1.333187795</v>
      </c>
      <c r="AN71" s="6"/>
      <c r="AO71" s="5">
        <v>0.34864435830000001</v>
      </c>
      <c r="AP71" s="5"/>
      <c r="AQ71" s="10">
        <f t="shared" si="11"/>
        <v>0.39845069520000004</v>
      </c>
      <c r="AR71" s="5"/>
      <c r="AS71" s="3">
        <f t="shared" si="12"/>
        <v>193.66367990876674</v>
      </c>
      <c r="AT71" s="28">
        <v>6.2099282309999997E-2</v>
      </c>
      <c r="AU71" s="5">
        <v>-25.04355632</v>
      </c>
      <c r="AV71" s="5">
        <v>-6.0499782360000003</v>
      </c>
      <c r="CE71" s="5">
        <v>1.249086208</v>
      </c>
      <c r="CF71" s="9">
        <v>1.3278677729999999</v>
      </c>
      <c r="CG71" s="2">
        <f t="shared" si="7"/>
        <v>181.44677926980816</v>
      </c>
      <c r="CH71" s="2">
        <f t="shared" si="8"/>
        <v>192.89087427584718</v>
      </c>
      <c r="CI71" s="5">
        <v>0.35766114589999998</v>
      </c>
      <c r="CJ71" s="20">
        <f t="shared" si="13"/>
        <v>0.40891670405601671</v>
      </c>
    </row>
    <row r="72" spans="1:88" x14ac:dyDescent="0.25">
      <c r="A72" s="5">
        <v>1.249086208</v>
      </c>
      <c r="B72" s="6"/>
      <c r="C72" s="5">
        <v>0.35766114589999998</v>
      </c>
      <c r="D72" s="5"/>
      <c r="E72" s="10">
        <f t="shared" si="9"/>
        <v>0.40875559531428568</v>
      </c>
      <c r="F72" s="5"/>
      <c r="G72" s="3">
        <f t="shared" si="10"/>
        <v>181.44677926980816</v>
      </c>
      <c r="H72" s="25">
        <v>0.1174711058</v>
      </c>
      <c r="I72" s="5">
        <v>-28.438340069999999</v>
      </c>
      <c r="J72" s="5">
        <v>-6.7505213680000002</v>
      </c>
      <c r="K72" s="4"/>
      <c r="AM72" s="9">
        <v>1.3278677729999999</v>
      </c>
      <c r="AN72" s="6"/>
      <c r="AO72" s="5">
        <v>0.35766114589999998</v>
      </c>
      <c r="AP72" s="5"/>
      <c r="AQ72" s="10">
        <f t="shared" si="11"/>
        <v>0.40875559531428568</v>
      </c>
      <c r="AR72" s="5"/>
      <c r="AS72" s="3">
        <f t="shared" si="12"/>
        <v>192.89087427584718</v>
      </c>
      <c r="AT72" s="28">
        <v>6.2099282309999997E-2</v>
      </c>
      <c r="AU72" s="5">
        <v>-24.441153960000001</v>
      </c>
      <c r="AV72" s="5">
        <v>-5.8117653220000003</v>
      </c>
      <c r="CE72" s="5">
        <v>1.243916582</v>
      </c>
      <c r="CF72" s="9">
        <v>1.322677506</v>
      </c>
      <c r="CG72" s="2">
        <f t="shared" si="7"/>
        <v>180.69582070368054</v>
      </c>
      <c r="CH72" s="2">
        <f t="shared" si="8"/>
        <v>192.13691732342173</v>
      </c>
      <c r="CI72" s="5">
        <v>0.36447283359999999</v>
      </c>
      <c r="CJ72" s="20">
        <f t="shared" si="13"/>
        <v>0.41670455832890352</v>
      </c>
    </row>
    <row r="73" spans="1:88" x14ac:dyDescent="0.25">
      <c r="A73" s="5">
        <v>1.243916582</v>
      </c>
      <c r="B73" s="6"/>
      <c r="C73" s="5">
        <v>0.36447283359999999</v>
      </c>
      <c r="D73" s="5"/>
      <c r="E73" s="10">
        <f t="shared" si="9"/>
        <v>0.41654038125714282</v>
      </c>
      <c r="F73" s="5"/>
      <c r="G73" s="3">
        <f t="shared" si="10"/>
        <v>180.69582070368054</v>
      </c>
      <c r="H73" s="25">
        <v>0.1174711058</v>
      </c>
      <c r="I73" s="5">
        <v>-27.887009500000001</v>
      </c>
      <c r="J73" s="5">
        <v>-6.5383801259999998</v>
      </c>
      <c r="K73" s="4"/>
      <c r="AM73" s="9">
        <v>1.322677506</v>
      </c>
      <c r="AN73" s="6"/>
      <c r="AO73" s="5">
        <v>0.36447283359999999</v>
      </c>
      <c r="AP73" s="5"/>
      <c r="AQ73" s="10">
        <f t="shared" si="11"/>
        <v>0.41654038125714282</v>
      </c>
      <c r="AR73" s="5"/>
      <c r="AS73" s="3">
        <f t="shared" si="12"/>
        <v>192.13691732342173</v>
      </c>
      <c r="AT73" s="28">
        <v>6.2099282309999997E-2</v>
      </c>
      <c r="AU73" s="5">
        <v>-23.97060858</v>
      </c>
      <c r="AV73" s="5">
        <v>-5.6294418559999997</v>
      </c>
      <c r="CE73" s="5">
        <v>1.2392273110000001</v>
      </c>
      <c r="CF73" s="9">
        <v>1.317756691</v>
      </c>
      <c r="CG73" s="2">
        <f t="shared" si="7"/>
        <v>180.01464024181661</v>
      </c>
      <c r="CH73" s="2">
        <f t="shared" si="8"/>
        <v>191.42210194285468</v>
      </c>
      <c r="CI73" s="5">
        <v>0.36903742509999998</v>
      </c>
      <c r="CJ73" s="20">
        <f t="shared" si="13"/>
        <v>0.42192329045269977</v>
      </c>
    </row>
    <row r="74" spans="1:88" x14ac:dyDescent="0.25">
      <c r="A74" s="5">
        <v>1.2392273110000001</v>
      </c>
      <c r="B74" s="6"/>
      <c r="C74" s="5">
        <v>0.36903742509999998</v>
      </c>
      <c r="D74" s="5"/>
      <c r="E74" s="10">
        <f t="shared" si="9"/>
        <v>0.42175705725714285</v>
      </c>
      <c r="F74" s="5"/>
      <c r="G74" s="3">
        <f t="shared" si="10"/>
        <v>180.01464024181661</v>
      </c>
      <c r="H74" s="25">
        <v>0.1174711058</v>
      </c>
      <c r="I74" s="5">
        <v>-27.492229300000002</v>
      </c>
      <c r="J74" s="5">
        <v>-6.3888654010000003</v>
      </c>
      <c r="K74" s="4"/>
      <c r="AM74" s="9">
        <v>1.317756691</v>
      </c>
      <c r="AN74" s="6"/>
      <c r="AO74" s="5">
        <v>0.36903742509999998</v>
      </c>
      <c r="AP74" s="5"/>
      <c r="AQ74" s="10">
        <f t="shared" si="11"/>
        <v>0.42175705725714285</v>
      </c>
      <c r="AR74" s="5"/>
      <c r="AS74" s="3">
        <f t="shared" si="12"/>
        <v>191.42210194285468</v>
      </c>
      <c r="AT74" s="28">
        <v>6.2099282309999997E-2</v>
      </c>
      <c r="AU74" s="5">
        <v>-23.63374662</v>
      </c>
      <c r="AV74" s="5">
        <v>-5.5009247060000002</v>
      </c>
      <c r="CE74" s="5">
        <v>1.239093988</v>
      </c>
      <c r="CF74" s="9">
        <v>1.3159566309999999</v>
      </c>
      <c r="CG74" s="2">
        <f t="shared" si="7"/>
        <v>179.99527326074062</v>
      </c>
      <c r="CH74" s="2">
        <f t="shared" si="8"/>
        <v>191.16061871823771</v>
      </c>
      <c r="CI74" s="5">
        <v>0.37132677819999999</v>
      </c>
      <c r="CJ74" s="20">
        <f t="shared" si="13"/>
        <v>0.42454072523644382</v>
      </c>
    </row>
    <row r="75" spans="1:88" x14ac:dyDescent="0.25">
      <c r="A75" s="5">
        <v>1.239093988</v>
      </c>
      <c r="B75" s="6"/>
      <c r="C75" s="5">
        <v>0.37132677819999999</v>
      </c>
      <c r="D75" s="5"/>
      <c r="E75" s="10">
        <f t="shared" si="9"/>
        <v>0.42437346079999999</v>
      </c>
      <c r="F75" s="5"/>
      <c r="G75" s="3">
        <f t="shared" si="10"/>
        <v>179.99527326074062</v>
      </c>
      <c r="H75" s="25">
        <v>0.1174711058</v>
      </c>
      <c r="I75" s="5">
        <v>-27.255340489999998</v>
      </c>
      <c r="J75" s="5">
        <v>-6.3000614419999996</v>
      </c>
      <c r="K75" s="4"/>
      <c r="AM75" s="9">
        <v>1.3159566309999999</v>
      </c>
      <c r="AN75" s="6"/>
      <c r="AO75" s="5">
        <v>0.37132677819999999</v>
      </c>
      <c r="AP75" s="5"/>
      <c r="AQ75" s="10">
        <f t="shared" si="11"/>
        <v>0.42437346079999999</v>
      </c>
      <c r="AR75" s="5"/>
      <c r="AS75" s="3">
        <f t="shared" si="12"/>
        <v>191.16061871823771</v>
      </c>
      <c r="AT75" s="28">
        <v>6.2099282309999997E-2</v>
      </c>
      <c r="AU75" s="5">
        <v>-23.43159868</v>
      </c>
      <c r="AV75" s="5">
        <v>-5.4245842169999996</v>
      </c>
      <c r="CE75" s="5">
        <v>1.2445246089999999</v>
      </c>
      <c r="CF75" s="9">
        <v>1.3242312789999999</v>
      </c>
      <c r="CG75" s="2">
        <f t="shared" si="7"/>
        <v>180.78414490432615</v>
      </c>
      <c r="CH75" s="2">
        <f t="shared" si="8"/>
        <v>192.36262400784486</v>
      </c>
      <c r="CI75" s="5">
        <v>0.38506510980000003</v>
      </c>
      <c r="CJ75" s="20">
        <f t="shared" si="13"/>
        <v>0.44024786407861305</v>
      </c>
    </row>
    <row r="76" spans="1:88" x14ac:dyDescent="0.25">
      <c r="A76" s="5">
        <v>1.2445246089999999</v>
      </c>
      <c r="B76" s="6"/>
      <c r="C76" s="5">
        <v>0.38506510980000003</v>
      </c>
      <c r="D76" s="5"/>
      <c r="E76" s="10">
        <f t="shared" si="9"/>
        <v>0.44007441120000002</v>
      </c>
      <c r="F76" s="5"/>
      <c r="G76" s="3">
        <f t="shared" si="10"/>
        <v>180.78414490432615</v>
      </c>
      <c r="H76" s="25">
        <v>0.1174711058</v>
      </c>
      <c r="I76" s="5">
        <v>-27.176540750000001</v>
      </c>
      <c r="J76" s="5">
        <v>-6.2706547510000004</v>
      </c>
      <c r="K76" s="4"/>
      <c r="AM76" s="9">
        <v>1.3242312789999999</v>
      </c>
      <c r="AN76" s="6"/>
      <c r="AO76" s="5">
        <v>0.38506510980000003</v>
      </c>
      <c r="AP76" s="5"/>
      <c r="AQ76" s="10">
        <f t="shared" si="11"/>
        <v>0.44007441120000002</v>
      </c>
      <c r="AR76" s="5"/>
      <c r="AS76" s="3">
        <f t="shared" si="12"/>
        <v>192.36262400784486</v>
      </c>
      <c r="AT76" s="28">
        <v>6.2099282309999997E-2</v>
      </c>
      <c r="AU76" s="5">
        <v>-23.364337590000002</v>
      </c>
      <c r="AV76" s="5">
        <v>-5.3993030869999998</v>
      </c>
      <c r="CE76" s="5">
        <v>1.251965805</v>
      </c>
      <c r="CF76" s="9">
        <v>1.333234483</v>
      </c>
      <c r="CG76" s="2">
        <f t="shared" si="7"/>
        <v>181.86507994265091</v>
      </c>
      <c r="CH76" s="2">
        <f t="shared" si="8"/>
        <v>193.67046197647056</v>
      </c>
      <c r="CI76" s="5">
        <v>0.41135924470000002</v>
      </c>
      <c r="CJ76" s="20">
        <f t="shared" si="13"/>
        <v>0.47031014817787192</v>
      </c>
    </row>
    <row r="77" spans="1:88" x14ac:dyDescent="0.25">
      <c r="A77" s="5">
        <v>1.251965805</v>
      </c>
      <c r="B77" s="6"/>
      <c r="C77" s="5">
        <v>0.41135924470000002</v>
      </c>
      <c r="D77" s="5"/>
      <c r="E77" s="10">
        <f t="shared" si="9"/>
        <v>0.47012485108571428</v>
      </c>
      <c r="F77" s="5"/>
      <c r="G77" s="3">
        <f t="shared" si="10"/>
        <v>181.86507994265091</v>
      </c>
      <c r="H77" s="25">
        <v>0.1066473203</v>
      </c>
      <c r="I77" s="5">
        <v>-25.179872459999999</v>
      </c>
      <c r="J77" s="5">
        <v>-5.5239418709999999</v>
      </c>
      <c r="K77" s="4"/>
      <c r="AM77" s="9">
        <v>1.333234483</v>
      </c>
      <c r="AN77" s="6"/>
      <c r="AO77" s="5">
        <v>0.41135924470000002</v>
      </c>
      <c r="AP77" s="5"/>
      <c r="AQ77" s="10">
        <f t="shared" si="11"/>
        <v>0.47012485108571428</v>
      </c>
      <c r="AR77" s="5"/>
      <c r="AS77" s="3">
        <f t="shared" si="12"/>
        <v>193.67046197647056</v>
      </c>
      <c r="AT77" s="28">
        <v>5.6376858580000001E-2</v>
      </c>
      <c r="AU77" s="5">
        <v>-21.65980523</v>
      </c>
      <c r="AV77" s="5">
        <v>-4.7573357380000001</v>
      </c>
      <c r="CE77" s="5">
        <v>1.257718645</v>
      </c>
      <c r="CF77" s="9">
        <v>1.34037077</v>
      </c>
      <c r="CG77" s="2">
        <f t="shared" si="7"/>
        <v>182.70075828332034</v>
      </c>
      <c r="CH77" s="2">
        <f t="shared" si="8"/>
        <v>194.70710483090434</v>
      </c>
      <c r="CI77" s="5">
        <v>0.4375452246</v>
      </c>
      <c r="CJ77" s="20">
        <f t="shared" si="13"/>
        <v>0.50024877784434107</v>
      </c>
    </row>
    <row r="78" spans="1:88" x14ac:dyDescent="0.25">
      <c r="A78" s="5">
        <v>1.257718645</v>
      </c>
      <c r="B78" s="6"/>
      <c r="C78" s="5">
        <v>0.4375452246</v>
      </c>
      <c r="D78" s="5"/>
      <c r="E78" s="10">
        <f t="shared" si="9"/>
        <v>0.50005168525714283</v>
      </c>
      <c r="F78" s="5"/>
      <c r="G78" s="3">
        <f t="shared" si="10"/>
        <v>182.70075828332034</v>
      </c>
      <c r="H78" s="25">
        <v>9.6389927419999993E-2</v>
      </c>
      <c r="I78" s="5">
        <v>-23.239272209999999</v>
      </c>
      <c r="J78" s="5">
        <v>-4.8339865189999998</v>
      </c>
      <c r="K78" s="4"/>
      <c r="AM78" s="9">
        <v>1.34037077</v>
      </c>
      <c r="AN78" s="6"/>
      <c r="AO78" s="5">
        <v>0.4375452246</v>
      </c>
      <c r="AP78" s="5"/>
      <c r="AQ78" s="10">
        <f t="shared" si="11"/>
        <v>0.50005168525714283</v>
      </c>
      <c r="AR78" s="5"/>
      <c r="AS78" s="3">
        <f t="shared" si="12"/>
        <v>194.70710483090434</v>
      </c>
      <c r="AT78" s="28">
        <v>5.0958592140000002E-2</v>
      </c>
      <c r="AU78" s="5">
        <v>-19.998335900000001</v>
      </c>
      <c r="AV78" s="5">
        <v>-4.1638339809999998</v>
      </c>
      <c r="CE78" s="5">
        <v>1.262440528</v>
      </c>
      <c r="CF78" s="9">
        <v>1.3463742110000001</v>
      </c>
      <c r="CG78" s="2">
        <f t="shared" si="7"/>
        <v>183.38667608222926</v>
      </c>
      <c r="CH78" s="2">
        <f t="shared" si="8"/>
        <v>195.57918637900701</v>
      </c>
      <c r="CI78" s="5">
        <v>0.46355127550000003</v>
      </c>
      <c r="CJ78" s="20">
        <f t="shared" si="13"/>
        <v>0.52998169331879497</v>
      </c>
    </row>
    <row r="79" spans="1:88" x14ac:dyDescent="0.25">
      <c r="A79" s="5">
        <v>1.262440528</v>
      </c>
      <c r="B79" s="6"/>
      <c r="C79" s="5">
        <v>0.46355127550000003</v>
      </c>
      <c r="D79" s="5"/>
      <c r="E79" s="10">
        <f t="shared" si="9"/>
        <v>0.52977288628571428</v>
      </c>
      <c r="F79" s="5"/>
      <c r="G79" s="3">
        <f t="shared" si="10"/>
        <v>183.38667608222926</v>
      </c>
      <c r="H79" s="25">
        <v>8.6755211090000006E-2</v>
      </c>
      <c r="I79" s="5">
        <v>-21.359421860000001</v>
      </c>
      <c r="J79" s="5">
        <v>-4.2007012240000003</v>
      </c>
      <c r="K79" s="4"/>
      <c r="AM79" s="9">
        <v>1.3463742110000001</v>
      </c>
      <c r="AN79" s="6"/>
      <c r="AO79" s="5">
        <v>0.46355127550000003</v>
      </c>
      <c r="AP79" s="5"/>
      <c r="AQ79" s="10">
        <f t="shared" si="11"/>
        <v>0.52977288628571428</v>
      </c>
      <c r="AR79" s="5"/>
      <c r="AS79" s="3">
        <f t="shared" si="12"/>
        <v>195.57918637900701</v>
      </c>
      <c r="AT79" s="28">
        <v>4.5872067789999998E-2</v>
      </c>
      <c r="AU79" s="5">
        <v>-18.386889579999998</v>
      </c>
      <c r="AV79" s="5">
        <v>-3.6188663110000001</v>
      </c>
      <c r="CE79" s="5">
        <v>1.266175687</v>
      </c>
      <c r="CF79" s="9">
        <v>1.3513195570000001</v>
      </c>
      <c r="CG79" s="2">
        <f t="shared" si="7"/>
        <v>183.92925878490422</v>
      </c>
      <c r="CH79" s="2">
        <f t="shared" si="8"/>
        <v>196.29756522133815</v>
      </c>
      <c r="CI79" s="5">
        <v>0.48930611660000001</v>
      </c>
      <c r="CJ79" s="20">
        <f t="shared" si="13"/>
        <v>0.55942739872131297</v>
      </c>
    </row>
    <row r="80" spans="1:88" x14ac:dyDescent="0.25">
      <c r="A80" s="5">
        <v>1.266175687</v>
      </c>
      <c r="B80" s="6"/>
      <c r="C80" s="5">
        <v>0.48930611660000001</v>
      </c>
      <c r="D80" s="5"/>
      <c r="E80" s="10">
        <f t="shared" si="9"/>
        <v>0.55920699039999999</v>
      </c>
      <c r="F80" s="5"/>
      <c r="G80" s="3">
        <f t="shared" si="10"/>
        <v>183.92925878490422</v>
      </c>
      <c r="H80" s="25">
        <v>7.7758129359999997E-2</v>
      </c>
      <c r="I80" s="5">
        <v>-19.54545778</v>
      </c>
      <c r="J80" s="5">
        <v>-3.623451239</v>
      </c>
      <c r="K80" s="4"/>
      <c r="AM80" s="9">
        <v>1.3513195570000001</v>
      </c>
      <c r="AN80" s="6"/>
      <c r="AO80" s="5">
        <v>0.48930611660000001</v>
      </c>
      <c r="AP80" s="5"/>
      <c r="AQ80" s="10">
        <f t="shared" si="11"/>
        <v>0.55920699039999999</v>
      </c>
      <c r="AR80" s="5"/>
      <c r="AS80" s="3">
        <f t="shared" si="12"/>
        <v>196.29756522133815</v>
      </c>
      <c r="AT80" s="28">
        <v>4.1124266120000003E-2</v>
      </c>
      <c r="AU80" s="5">
        <v>-16.83081129</v>
      </c>
      <c r="AV80" s="5">
        <v>-3.1219506259999998</v>
      </c>
      <c r="CE80" s="5">
        <v>1.268834231</v>
      </c>
      <c r="CF80" s="9">
        <v>1.355135355</v>
      </c>
      <c r="CG80" s="2">
        <f t="shared" si="7"/>
        <v>184.31544849963933</v>
      </c>
      <c r="CH80" s="2">
        <f t="shared" si="8"/>
        <v>196.85186183674369</v>
      </c>
      <c r="CI80" s="5">
        <v>0.51473915569999995</v>
      </c>
      <c r="CJ80" s="20">
        <f t="shared" si="13"/>
        <v>0.58850518545358377</v>
      </c>
    </row>
    <row r="81" spans="1:88" x14ac:dyDescent="0.25">
      <c r="A81" s="5">
        <v>1.268834231</v>
      </c>
      <c r="B81" s="6"/>
      <c r="C81" s="5">
        <v>0.51473915569999995</v>
      </c>
      <c r="D81" s="5"/>
      <c r="E81" s="10">
        <f t="shared" si="9"/>
        <v>0.58827332079999994</v>
      </c>
      <c r="F81" s="5"/>
      <c r="G81" s="3">
        <f t="shared" si="10"/>
        <v>184.31544849963933</v>
      </c>
      <c r="H81" s="25">
        <v>6.9398616220000001E-2</v>
      </c>
      <c r="I81" s="5">
        <v>-17.80260204</v>
      </c>
      <c r="J81" s="5">
        <v>-3.1010722780000002</v>
      </c>
      <c r="K81" s="4"/>
      <c r="AM81" s="9">
        <v>1.355135355</v>
      </c>
      <c r="AN81" s="6"/>
      <c r="AO81" s="5">
        <v>0.51473915569999995</v>
      </c>
      <c r="AP81" s="5"/>
      <c r="AQ81" s="10">
        <f t="shared" si="11"/>
        <v>0.58827332079999994</v>
      </c>
      <c r="AR81" s="5"/>
      <c r="AS81" s="3">
        <f t="shared" si="12"/>
        <v>196.85186183674369</v>
      </c>
      <c r="AT81" s="28">
        <v>3.6714420060000003E-2</v>
      </c>
      <c r="AU81" s="5">
        <v>-15.33467739</v>
      </c>
      <c r="AV81" s="5">
        <v>-2.6721242869999999</v>
      </c>
      <c r="CE81" s="5">
        <v>1.270271989</v>
      </c>
      <c r="CF81" s="9">
        <v>1.3576904729999999</v>
      </c>
      <c r="CG81" s="2">
        <f t="shared" si="7"/>
        <v>184.52430242565225</v>
      </c>
      <c r="CH81" s="2">
        <f t="shared" si="8"/>
        <v>197.22302751673038</v>
      </c>
      <c r="CI81" s="5">
        <v>0.53978068260000001</v>
      </c>
      <c r="CJ81" s="20">
        <f t="shared" si="13"/>
        <v>0.61713535331459357</v>
      </c>
    </row>
    <row r="82" spans="1:88" x14ac:dyDescent="0.25">
      <c r="A82" s="5">
        <v>1.270271989</v>
      </c>
      <c r="B82" s="6"/>
      <c r="C82" s="5">
        <v>0.53978068260000001</v>
      </c>
      <c r="D82" s="5"/>
      <c r="E82" s="10">
        <f t="shared" si="9"/>
        <v>0.61689220868571426</v>
      </c>
      <c r="F82" s="5"/>
      <c r="G82" s="3">
        <f t="shared" si="10"/>
        <v>184.52430242565225</v>
      </c>
      <c r="H82" s="25">
        <v>6.1667601010000003E-2</v>
      </c>
      <c r="I82" s="5">
        <v>-16.135387300000001</v>
      </c>
      <c r="J82" s="5">
        <v>-2.6319038680000002</v>
      </c>
      <c r="K82" s="4"/>
      <c r="AM82" s="9">
        <v>1.3576904729999999</v>
      </c>
      <c r="AN82" s="6"/>
      <c r="AO82" s="5">
        <v>0.53978068260000001</v>
      </c>
      <c r="AP82" s="5"/>
      <c r="AQ82" s="10">
        <f t="shared" si="11"/>
        <v>0.61689220868571426</v>
      </c>
      <c r="AR82" s="5"/>
      <c r="AS82" s="3">
        <f t="shared" si="12"/>
        <v>197.22302751673038</v>
      </c>
      <c r="AT82" s="28">
        <v>3.2637155760000001E-2</v>
      </c>
      <c r="AU82" s="5">
        <v>-13.90245176</v>
      </c>
      <c r="AV82" s="5">
        <v>-2.2679953739999998</v>
      </c>
      <c r="CE82" s="5">
        <v>1.270309812</v>
      </c>
      <c r="CF82" s="9">
        <v>1.3588152680000001</v>
      </c>
      <c r="CG82" s="2">
        <f t="shared" si="7"/>
        <v>184.52979673140021</v>
      </c>
      <c r="CH82" s="2">
        <f t="shared" si="8"/>
        <v>197.38641930568912</v>
      </c>
      <c r="CI82" s="5">
        <v>0.56436206030000002</v>
      </c>
      <c r="CJ82" s="20">
        <f t="shared" si="13"/>
        <v>0.64523942910103771</v>
      </c>
    </row>
    <row r="83" spans="1:88" x14ac:dyDescent="0.25">
      <c r="A83" s="5">
        <v>1.270309812</v>
      </c>
      <c r="B83" s="6"/>
      <c r="C83" s="5">
        <v>0.56436206030000002</v>
      </c>
      <c r="D83" s="5"/>
      <c r="E83" s="10">
        <f t="shared" si="9"/>
        <v>0.64498521177142865</v>
      </c>
      <c r="F83" s="5"/>
      <c r="G83" s="3">
        <f t="shared" si="10"/>
        <v>184.52979673140021</v>
      </c>
      <c r="H83" s="25">
        <v>5.4549634569999998E-2</v>
      </c>
      <c r="I83" s="5">
        <v>-14.547699679999999</v>
      </c>
      <c r="J83" s="5">
        <v>-2.2138480610000002</v>
      </c>
      <c r="K83" s="4"/>
      <c r="AM83" s="9">
        <v>1.3588152680000001</v>
      </c>
      <c r="AN83" s="6"/>
      <c r="AO83" s="5">
        <v>0.56436206030000002</v>
      </c>
      <c r="AP83" s="5"/>
      <c r="AQ83" s="10">
        <f t="shared" si="11"/>
        <v>0.64498521177142865</v>
      </c>
      <c r="AR83" s="5"/>
      <c r="AS83" s="3">
        <f t="shared" si="12"/>
        <v>197.38641930568912</v>
      </c>
      <c r="AT83" s="28">
        <v>2.888384695E-2</v>
      </c>
      <c r="AU83" s="5">
        <v>-12.53752768</v>
      </c>
      <c r="AV83" s="5">
        <v>-1.9077932559999999</v>
      </c>
      <c r="CE83" s="5">
        <v>1.2687379700000001</v>
      </c>
      <c r="CF83" s="9">
        <v>1.358306236</v>
      </c>
      <c r="CG83" s="2">
        <f t="shared" si="7"/>
        <v>184.30146527869954</v>
      </c>
      <c r="CH83" s="2">
        <f t="shared" si="8"/>
        <v>197.31247547670938</v>
      </c>
      <c r="CI83" s="5">
        <v>0.58841591280000005</v>
      </c>
      <c r="CJ83" s="20">
        <f t="shared" si="13"/>
        <v>0.67274038132048763</v>
      </c>
    </row>
    <row r="84" spans="1:88" x14ac:dyDescent="0.25">
      <c r="A84" s="5">
        <v>1.2687379700000001</v>
      </c>
      <c r="B84" s="6"/>
      <c r="C84" s="5">
        <v>0.58841591280000005</v>
      </c>
      <c r="D84" s="5"/>
      <c r="E84" s="10">
        <f t="shared" si="9"/>
        <v>0.67247532891428574</v>
      </c>
      <c r="F84" s="5"/>
      <c r="G84" s="3">
        <f t="shared" si="10"/>
        <v>184.30146527869954</v>
      </c>
      <c r="H84" s="25">
        <v>4.8024452619999998E-2</v>
      </c>
      <c r="I84" s="5">
        <v>-13.042791080000001</v>
      </c>
      <c r="J84" s="5">
        <v>-1.8444301169999999</v>
      </c>
      <c r="K84" s="4"/>
      <c r="AM84" s="9">
        <v>1.358306236</v>
      </c>
      <c r="AN84" s="6"/>
      <c r="AO84" s="5">
        <v>0.58841591280000005</v>
      </c>
      <c r="AP84" s="5"/>
      <c r="AQ84" s="10">
        <f t="shared" si="11"/>
        <v>0.67247532891428574</v>
      </c>
      <c r="AR84" s="5"/>
      <c r="AS84" s="3">
        <f t="shared" si="12"/>
        <v>197.31247547670938</v>
      </c>
      <c r="AT84" s="28">
        <v>2.544341348E-2</v>
      </c>
      <c r="AU84" s="5">
        <v>-11.242742809999999</v>
      </c>
      <c r="AV84" s="5">
        <v>-1.589420743</v>
      </c>
      <c r="CE84" s="5">
        <v>1.265315674</v>
      </c>
      <c r="CF84" s="9">
        <v>1.3559250629999999</v>
      </c>
      <c r="CG84" s="2">
        <f t="shared" si="7"/>
        <v>183.80433018671721</v>
      </c>
      <c r="CH84" s="2">
        <f t="shared" si="8"/>
        <v>196.96657767640781</v>
      </c>
      <c r="CI84" s="5">
        <v>0.6118763102</v>
      </c>
      <c r="CJ84" s="20">
        <f t="shared" si="13"/>
        <v>0.69956283181762535</v>
      </c>
    </row>
    <row r="85" spans="1:88" x14ac:dyDescent="0.25">
      <c r="A85" s="5">
        <v>1.265315674</v>
      </c>
      <c r="B85" s="6"/>
      <c r="C85" s="5">
        <v>0.6118763102</v>
      </c>
      <c r="D85" s="5"/>
      <c r="E85" s="10">
        <f t="shared" si="9"/>
        <v>0.6992872116571428</v>
      </c>
      <c r="F85" s="5"/>
      <c r="G85" s="3">
        <f t="shared" si="10"/>
        <v>183.80433018671721</v>
      </c>
      <c r="H85" s="25">
        <v>4.2068105590000002E-2</v>
      </c>
      <c r="I85" s="5">
        <v>-11.623285210000001</v>
      </c>
      <c r="J85" s="5">
        <v>-1.5208609719999999</v>
      </c>
      <c r="K85" s="4"/>
      <c r="AM85" s="9">
        <v>1.3559250629999999</v>
      </c>
      <c r="AN85" s="6"/>
      <c r="AO85" s="5">
        <v>0.6118763102</v>
      </c>
      <c r="AP85" s="5"/>
      <c r="AQ85" s="10">
        <f t="shared" si="11"/>
        <v>0.6992872116571428</v>
      </c>
      <c r="AR85" s="5"/>
      <c r="AS85" s="3">
        <f t="shared" si="12"/>
        <v>196.96657767640781</v>
      </c>
      <c r="AT85" s="28">
        <v>2.2302898370000001E-2</v>
      </c>
      <c r="AU85" s="5">
        <v>-10.02038868</v>
      </c>
      <c r="AV85" s="5">
        <v>-1.310507691</v>
      </c>
      <c r="CE85" s="5">
        <v>1.259768676</v>
      </c>
      <c r="CF85" s="9">
        <v>1.351395355</v>
      </c>
      <c r="CG85" s="2">
        <f t="shared" si="7"/>
        <v>182.99855319929242</v>
      </c>
      <c r="CH85" s="2">
        <f t="shared" si="8"/>
        <v>196.30857591290371</v>
      </c>
      <c r="CI85" s="5">
        <v>0.63467894930000002</v>
      </c>
      <c r="CJ85" s="20">
        <f t="shared" si="13"/>
        <v>0.72563326225559621</v>
      </c>
    </row>
    <row r="86" spans="1:88" x14ac:dyDescent="0.25">
      <c r="A86" s="5">
        <v>1.259768676</v>
      </c>
      <c r="B86" s="6"/>
      <c r="C86" s="5">
        <v>0.63467894930000002</v>
      </c>
      <c r="D86" s="5"/>
      <c r="E86" s="10">
        <f t="shared" si="9"/>
        <v>0.72534737062857146</v>
      </c>
      <c r="F86" s="5"/>
      <c r="G86" s="3">
        <f t="shared" si="10"/>
        <v>182.99855319929242</v>
      </c>
      <c r="H86" s="25">
        <v>3.6653875379999999E-2</v>
      </c>
      <c r="I86" s="5">
        <v>-10.291184940000001</v>
      </c>
      <c r="J86" s="5">
        <v>-1.2401006619999999</v>
      </c>
      <c r="K86" s="4"/>
      <c r="AM86" s="9">
        <v>1.351395355</v>
      </c>
      <c r="AN86" s="6"/>
      <c r="AO86" s="5">
        <v>0.63467894930000002</v>
      </c>
      <c r="AP86" s="5"/>
      <c r="AQ86" s="10">
        <f t="shared" si="11"/>
        <v>0.72534737062857146</v>
      </c>
      <c r="AR86" s="5"/>
      <c r="AS86" s="3">
        <f t="shared" si="12"/>
        <v>196.30857591290371</v>
      </c>
      <c r="AT86" s="28">
        <v>1.9447938750000001E-2</v>
      </c>
      <c r="AU86" s="5">
        <v>-8.8722212779999996</v>
      </c>
      <c r="AV86" s="5">
        <v>-1.0684653260000001</v>
      </c>
      <c r="CE86" s="5">
        <v>1.251786091</v>
      </c>
      <c r="CF86" s="9">
        <v>1.344398269</v>
      </c>
      <c r="CG86" s="2">
        <f t="shared" si="7"/>
        <v>181.83897403716509</v>
      </c>
      <c r="CH86" s="2">
        <f t="shared" si="8"/>
        <v>195.29215389908072</v>
      </c>
      <c r="CI86" s="5">
        <v>0.65676132949999999</v>
      </c>
      <c r="CJ86" s="20">
        <f t="shared" si="13"/>
        <v>0.75088021522381299</v>
      </c>
    </row>
    <row r="87" spans="1:88" x14ac:dyDescent="0.25">
      <c r="A87" s="5">
        <v>1.251786091</v>
      </c>
      <c r="B87" s="6"/>
      <c r="C87" s="5">
        <v>0.65676132949999999</v>
      </c>
      <c r="D87" s="5"/>
      <c r="E87" s="10">
        <f t="shared" si="9"/>
        <v>0.75058437657142851</v>
      </c>
      <c r="F87" s="5"/>
      <c r="G87" s="3">
        <f t="shared" si="10"/>
        <v>181.83897403716509</v>
      </c>
      <c r="H87" s="25">
        <v>3.1753066920000003E-2</v>
      </c>
      <c r="I87" s="5">
        <v>-9.0478829869999995</v>
      </c>
      <c r="J87" s="5">
        <v>-0.99892166540000005</v>
      </c>
      <c r="K87" s="4"/>
      <c r="AM87" s="9">
        <v>1.344398269</v>
      </c>
      <c r="AN87" s="6"/>
      <c r="AO87" s="5">
        <v>0.65676132949999999</v>
      </c>
      <c r="AP87" s="5"/>
      <c r="AQ87" s="10">
        <f t="shared" si="11"/>
        <v>0.75058437657142851</v>
      </c>
      <c r="AR87" s="5"/>
      <c r="AS87" s="3">
        <f t="shared" si="12"/>
        <v>195.29215389908072</v>
      </c>
      <c r="AT87" s="28">
        <v>1.686317516E-2</v>
      </c>
      <c r="AU87" s="5">
        <v>-7.7994746839999998</v>
      </c>
      <c r="AV87" s="5">
        <v>-0.86054044289999998</v>
      </c>
      <c r="CE87" s="5">
        <v>1.2410170309999999</v>
      </c>
      <c r="CF87" s="9">
        <v>1.3345676630000001</v>
      </c>
      <c r="CG87" s="2">
        <f t="shared" si="7"/>
        <v>180.2746214406441</v>
      </c>
      <c r="CH87" s="2">
        <f t="shared" si="8"/>
        <v>193.86412452404943</v>
      </c>
      <c r="CI87" s="5">
        <v>0.67806292459999995</v>
      </c>
      <c r="CJ87" s="20">
        <f t="shared" si="13"/>
        <v>0.77523449065820194</v>
      </c>
    </row>
    <row r="88" spans="1:88" x14ac:dyDescent="0.25">
      <c r="A88" s="5">
        <v>1.2410170309999999</v>
      </c>
      <c r="B88" s="6"/>
      <c r="C88" s="5">
        <v>0.67806292459999995</v>
      </c>
      <c r="D88" s="5"/>
      <c r="E88" s="10">
        <f t="shared" si="9"/>
        <v>0.77492905668571421</v>
      </c>
      <c r="F88" s="5"/>
      <c r="G88" s="3">
        <f t="shared" si="10"/>
        <v>180.2746214406441</v>
      </c>
      <c r="H88" s="25">
        <v>2.733571139E-2</v>
      </c>
      <c r="I88" s="5">
        <v>-7.8941766500000004</v>
      </c>
      <c r="J88" s="5">
        <v>-0.79397115460000001</v>
      </c>
      <c r="K88" s="4"/>
      <c r="AM88" s="9">
        <v>1.3345676630000001</v>
      </c>
      <c r="AN88" s="6"/>
      <c r="AO88" s="5">
        <v>0.67806292459999995</v>
      </c>
      <c r="AP88" s="5"/>
      <c r="AQ88" s="10">
        <f t="shared" si="11"/>
        <v>0.77492905668571421</v>
      </c>
      <c r="AR88" s="5"/>
      <c r="AS88" s="3">
        <f t="shared" si="12"/>
        <v>193.86412452404943</v>
      </c>
      <c r="AT88" s="28">
        <v>1.453261743E-2</v>
      </c>
      <c r="AU88" s="5">
        <v>-6.802877928</v>
      </c>
      <c r="AV88" s="5">
        <v>-0.68386858240000004</v>
      </c>
      <c r="CE88" s="5">
        <v>1.227067476</v>
      </c>
      <c r="CF88" s="9">
        <v>1.321485187</v>
      </c>
      <c r="CG88" s="2">
        <f t="shared" si="7"/>
        <v>178.24825863975323</v>
      </c>
      <c r="CH88" s="2">
        <f t="shared" si="8"/>
        <v>191.96371675405621</v>
      </c>
      <c r="CI88" s="5">
        <v>0.69852534840000002</v>
      </c>
      <c r="CJ88" s="20">
        <f t="shared" si="13"/>
        <v>0.79862933517293966</v>
      </c>
    </row>
    <row r="89" spans="1:88" x14ac:dyDescent="0.25">
      <c r="A89" s="5">
        <v>1.227067476</v>
      </c>
      <c r="B89" s="6"/>
      <c r="C89" s="5">
        <v>0.69852534840000002</v>
      </c>
      <c r="D89" s="5"/>
      <c r="E89" s="10">
        <f t="shared" si="9"/>
        <v>0.79831468388571436</v>
      </c>
      <c r="F89" s="5"/>
      <c r="G89" s="3">
        <f t="shared" si="10"/>
        <v>178.24825863975323</v>
      </c>
      <c r="H89" s="25">
        <v>2.3371196059999998E-2</v>
      </c>
      <c r="I89" s="5">
        <v>-6.8302858219999996</v>
      </c>
      <c r="J89" s="5">
        <v>-0.62183115030000002</v>
      </c>
      <c r="K89" s="4"/>
      <c r="AM89" s="9">
        <v>1.321485187</v>
      </c>
      <c r="AN89" s="6"/>
      <c r="AO89" s="5">
        <v>0.69852534840000002</v>
      </c>
      <c r="AP89" s="5"/>
      <c r="AQ89" s="10">
        <f t="shared" si="11"/>
        <v>0.79831468388571436</v>
      </c>
      <c r="AR89" s="5"/>
      <c r="AS89" s="3">
        <f t="shared" si="12"/>
        <v>191.96371675405621</v>
      </c>
      <c r="AT89" s="28">
        <v>1.243997388E-2</v>
      </c>
      <c r="AU89" s="5">
        <v>-5.8826746019999998</v>
      </c>
      <c r="AV89" s="5">
        <v>-0.53552538110000003</v>
      </c>
      <c r="CE89" s="5">
        <v>1.2094978110000001</v>
      </c>
      <c r="CF89" s="9">
        <v>1.304675759</v>
      </c>
      <c r="CG89" s="2">
        <f t="shared" si="7"/>
        <v>175.6960255699446</v>
      </c>
      <c r="CH89" s="2">
        <f t="shared" si="8"/>
        <v>189.52191845988455</v>
      </c>
      <c r="CI89" s="5">
        <v>0.71809251480000003</v>
      </c>
      <c r="CJ89" s="20">
        <f t="shared" si="13"/>
        <v>0.82100062510399852</v>
      </c>
    </row>
    <row r="90" spans="1:88" x14ac:dyDescent="0.25">
      <c r="A90" s="5">
        <v>1.2094978110000001</v>
      </c>
      <c r="B90" s="6"/>
      <c r="C90" s="5">
        <v>0.71809251480000003</v>
      </c>
      <c r="D90" s="5"/>
      <c r="E90" s="10">
        <f t="shared" si="9"/>
        <v>0.82067715977142863</v>
      </c>
      <c r="F90" s="5"/>
      <c r="G90" s="3">
        <f t="shared" si="10"/>
        <v>175.6960255699446</v>
      </c>
      <c r="H90" s="25">
        <v>1.9828826130000001E-2</v>
      </c>
      <c r="I90" s="5">
        <v>-5.8556790960000002</v>
      </c>
      <c r="J90" s="5">
        <v>-0.47907569690000001</v>
      </c>
      <c r="K90" s="4"/>
      <c r="AM90" s="9">
        <v>1.304675759</v>
      </c>
      <c r="AN90" s="6"/>
      <c r="AO90" s="5">
        <v>0.71809251480000003</v>
      </c>
      <c r="AP90" s="5"/>
      <c r="AQ90" s="10">
        <f t="shared" si="11"/>
        <v>0.82067715977142863</v>
      </c>
      <c r="AR90" s="5"/>
      <c r="AS90" s="3">
        <f t="shared" si="12"/>
        <v>189.52191845988455</v>
      </c>
      <c r="AT90" s="28">
        <v>1.056894643E-2</v>
      </c>
      <c r="AU90" s="5">
        <v>-5.0386442149999997</v>
      </c>
      <c r="AV90" s="5">
        <v>-0.41257534629999998</v>
      </c>
      <c r="CE90" s="5">
        <v>1.187821542</v>
      </c>
      <c r="CF90" s="9">
        <v>1.283603957</v>
      </c>
      <c r="CG90" s="2">
        <f t="shared" si="7"/>
        <v>172.54725235361587</v>
      </c>
      <c r="CH90" s="2">
        <f t="shared" si="8"/>
        <v>186.46095230572851</v>
      </c>
      <c r="CI90" s="5">
        <v>0.73671079169999998</v>
      </c>
      <c r="CJ90" s="20">
        <f t="shared" si="13"/>
        <v>0.84228704246418584</v>
      </c>
    </row>
    <row r="91" spans="1:88" x14ac:dyDescent="0.25">
      <c r="A91" s="5">
        <v>1.187821542</v>
      </c>
      <c r="B91" s="6"/>
      <c r="C91" s="5">
        <v>0.73671079169999998</v>
      </c>
      <c r="D91" s="5"/>
      <c r="E91" s="10">
        <f t="shared" si="9"/>
        <v>0.84195519051428569</v>
      </c>
      <c r="F91" s="5"/>
      <c r="G91" s="3">
        <f t="shared" si="10"/>
        <v>172.54725235361587</v>
      </c>
      <c r="H91" s="25">
        <v>1.6678319699999999E-2</v>
      </c>
      <c r="I91" s="5">
        <v>-4.966479069</v>
      </c>
      <c r="J91" s="5">
        <v>-0.3623281431</v>
      </c>
      <c r="K91" s="4"/>
      <c r="AM91" s="9">
        <v>1.283603957</v>
      </c>
      <c r="AN91" s="6"/>
      <c r="AO91" s="5">
        <v>0.73671079169999998</v>
      </c>
      <c r="AP91" s="5"/>
      <c r="AQ91" s="10">
        <f t="shared" si="11"/>
        <v>0.84195519051428569</v>
      </c>
      <c r="AR91" s="5"/>
      <c r="AS91" s="3">
        <f t="shared" si="12"/>
        <v>186.46095230572851</v>
      </c>
      <c r="AT91" s="28">
        <v>8.9034916330000009E-3</v>
      </c>
      <c r="AU91" s="5">
        <v>-4.2701240680000003</v>
      </c>
      <c r="AV91" s="5">
        <v>-0.31211741869999998</v>
      </c>
      <c r="CE91" s="5">
        <v>1.161505808</v>
      </c>
      <c r="CF91" s="9">
        <v>1.257672015</v>
      </c>
      <c r="CG91" s="2">
        <f t="shared" si="7"/>
        <v>168.72453367508174</v>
      </c>
      <c r="CH91" s="2">
        <f t="shared" si="8"/>
        <v>182.69398464090625</v>
      </c>
      <c r="CI91" s="5">
        <v>0.75432914750000002</v>
      </c>
      <c r="CJ91" s="20">
        <f t="shared" si="13"/>
        <v>0.86243024243770638</v>
      </c>
    </row>
    <row r="92" spans="1:88" x14ac:dyDescent="0.25">
      <c r="A92" s="5">
        <v>1.161505808</v>
      </c>
      <c r="B92" s="6"/>
      <c r="C92" s="5">
        <v>0.75432914750000002</v>
      </c>
      <c r="D92" s="5"/>
      <c r="E92" s="10">
        <f t="shared" si="9"/>
        <v>0.86209045428571429</v>
      </c>
      <c r="F92" s="5"/>
      <c r="G92" s="3">
        <f t="shared" si="10"/>
        <v>168.72453367508174</v>
      </c>
      <c r="H92" s="25">
        <v>1.3890235399999999E-2</v>
      </c>
      <c r="I92" s="5">
        <v>-4.1611859280000001</v>
      </c>
      <c r="J92" s="5">
        <v>-0.2683624919</v>
      </c>
      <c r="K92" s="4"/>
      <c r="AM92" s="9">
        <v>1.257672015</v>
      </c>
      <c r="AN92" s="6"/>
      <c r="AO92" s="5">
        <v>0.75432914750000002</v>
      </c>
      <c r="AP92" s="5"/>
      <c r="AQ92" s="10">
        <f t="shared" si="11"/>
        <v>0.86209045428571429</v>
      </c>
      <c r="AR92" s="5"/>
      <c r="AS92" s="3">
        <f t="shared" si="12"/>
        <v>182.69398464090625</v>
      </c>
      <c r="AT92" s="28">
        <v>7.4280473290000001E-3</v>
      </c>
      <c r="AU92" s="5">
        <v>-3.5760301499999998</v>
      </c>
      <c r="AV92" s="5">
        <v>-0.23132678549999999</v>
      </c>
      <c r="CE92" s="5">
        <v>1.129974442</v>
      </c>
      <c r="CF92" s="9">
        <v>1.2262203190000001</v>
      </c>
      <c r="CG92" s="2">
        <f t="shared" si="7"/>
        <v>164.14417343250227</v>
      </c>
      <c r="CH92" s="2">
        <f t="shared" si="8"/>
        <v>178.12519755061354</v>
      </c>
      <c r="CI92" s="5">
        <v>0.77089929150000003</v>
      </c>
      <c r="CJ92" s="20">
        <f t="shared" si="13"/>
        <v>0.88137501390054818</v>
      </c>
    </row>
    <row r="93" spans="1:88" x14ac:dyDescent="0.25">
      <c r="A93" s="5">
        <v>1.129974442</v>
      </c>
      <c r="B93" s="6"/>
      <c r="C93" s="5">
        <v>0.77089929150000003</v>
      </c>
      <c r="D93" s="5"/>
      <c r="E93" s="10">
        <f t="shared" si="9"/>
        <v>0.88102776171428576</v>
      </c>
      <c r="F93" s="5"/>
      <c r="G93" s="3">
        <f t="shared" si="10"/>
        <v>164.14417343250227</v>
      </c>
      <c r="H93" s="25">
        <v>1.1436331900000001E-2</v>
      </c>
      <c r="I93" s="5">
        <v>-3.4379433659999998</v>
      </c>
      <c r="J93" s="5">
        <v>-0.19408284140000001</v>
      </c>
      <c r="K93" s="4"/>
      <c r="AM93" s="9">
        <v>1.2262203190000001</v>
      </c>
      <c r="AN93" s="6"/>
      <c r="AO93" s="5">
        <v>0.77089929150000003</v>
      </c>
      <c r="AP93" s="5"/>
      <c r="AQ93" s="10">
        <f t="shared" si="11"/>
        <v>0.88102776171428576</v>
      </c>
      <c r="AR93" s="5"/>
      <c r="AS93" s="3">
        <f t="shared" si="12"/>
        <v>178.12519755061354</v>
      </c>
      <c r="AT93" s="28">
        <v>6.1277239420000004E-3</v>
      </c>
      <c r="AU93" s="5">
        <v>-2.954875457</v>
      </c>
      <c r="AV93" s="5">
        <v>-0.1674925146</v>
      </c>
      <c r="CE93" s="5">
        <v>1.0926144630000001</v>
      </c>
      <c r="CF93" s="9">
        <v>1.188531512</v>
      </c>
      <c r="CG93" s="2">
        <f t="shared" si="7"/>
        <v>158.71712778927824</v>
      </c>
      <c r="CH93" s="2">
        <f t="shared" si="8"/>
        <v>172.6503851630674</v>
      </c>
      <c r="CI93" s="5">
        <v>0.78637580630000004</v>
      </c>
      <c r="CJ93" s="20">
        <f t="shared" si="13"/>
        <v>0.89906943079440782</v>
      </c>
    </row>
    <row r="94" spans="1:88" x14ac:dyDescent="0.25">
      <c r="A94" s="5">
        <v>1.0926144630000001</v>
      </c>
      <c r="B94" s="6"/>
      <c r="C94" s="5">
        <v>0.78637580630000004</v>
      </c>
      <c r="D94" s="5"/>
      <c r="E94" s="10">
        <f t="shared" si="9"/>
        <v>0.89871520720000009</v>
      </c>
      <c r="F94" s="5"/>
      <c r="G94" s="3">
        <f t="shared" si="10"/>
        <v>158.71712778927824</v>
      </c>
      <c r="H94" s="25">
        <v>9.2898586649999993E-3</v>
      </c>
      <c r="I94" s="5">
        <v>-2.7945644129999998</v>
      </c>
      <c r="J94" s="5">
        <v>-0.1365581682</v>
      </c>
      <c r="K94" s="4"/>
      <c r="AM94" s="9">
        <v>1.188531512</v>
      </c>
      <c r="AN94" s="6"/>
      <c r="AO94" s="5">
        <v>0.78637580630000004</v>
      </c>
      <c r="AP94" s="5"/>
      <c r="AQ94" s="10">
        <f t="shared" si="11"/>
        <v>0.89871520720000009</v>
      </c>
      <c r="AR94" s="5"/>
      <c r="AS94" s="3">
        <f t="shared" si="12"/>
        <v>172.6503851630674</v>
      </c>
      <c r="AT94" s="28">
        <v>4.9884595300000003E-3</v>
      </c>
      <c r="AU94" s="5">
        <v>-2.4047839280000001</v>
      </c>
      <c r="AV94" s="5">
        <v>-0.11805067480000001</v>
      </c>
      <c r="CE94" s="5">
        <v>1.0487869679999999</v>
      </c>
      <c r="CF94" s="9">
        <v>1.1438395690000001</v>
      </c>
      <c r="CG94" s="2">
        <f t="shared" si="7"/>
        <v>152.35058738535628</v>
      </c>
      <c r="CH94" s="2">
        <f t="shared" si="8"/>
        <v>166.15827191682152</v>
      </c>
      <c r="CI94" s="5">
        <v>0.80071627170000004</v>
      </c>
      <c r="CJ94" s="20">
        <f t="shared" si="13"/>
        <v>0.91546499378250179</v>
      </c>
    </row>
    <row r="95" spans="1:88" x14ac:dyDescent="0.25">
      <c r="A95" s="5">
        <v>1.0487869679999999</v>
      </c>
      <c r="B95" s="6"/>
      <c r="C95" s="5">
        <v>0.80071627170000004</v>
      </c>
      <c r="D95" s="5"/>
      <c r="E95" s="10">
        <f t="shared" si="9"/>
        <v>0.91510431051428576</v>
      </c>
      <c r="F95" s="5"/>
      <c r="G95" s="3">
        <f t="shared" si="10"/>
        <v>152.35058738535628</v>
      </c>
      <c r="H95" s="25">
        <v>7.425777899E-3</v>
      </c>
      <c r="I95" s="5">
        <v>-2.2285476809999998</v>
      </c>
      <c r="J95" s="5">
        <v>-9.3052036919999997E-2</v>
      </c>
      <c r="K95" s="4"/>
      <c r="AM95" s="9">
        <v>1.1438395690000001</v>
      </c>
      <c r="AN95" s="6"/>
      <c r="AO95" s="5">
        <v>0.80071627170000004</v>
      </c>
      <c r="AP95" s="5"/>
      <c r="AQ95" s="10">
        <f t="shared" si="11"/>
        <v>0.91510431051428576</v>
      </c>
      <c r="AR95" s="5"/>
      <c r="AS95" s="3">
        <f t="shared" si="12"/>
        <v>166.15827191682152</v>
      </c>
      <c r="AT95" s="28">
        <v>3.9971377870000003E-3</v>
      </c>
      <c r="AU95" s="5">
        <v>-1.92228577</v>
      </c>
      <c r="AV95" s="5">
        <v>-8.0612695339999998E-2</v>
      </c>
      <c r="CE95" s="5">
        <v>0.99784338130000005</v>
      </c>
      <c r="CF95" s="9">
        <v>1.0913454069999999</v>
      </c>
      <c r="CG95" s="2">
        <f t="shared" si="7"/>
        <v>144.95033776930481</v>
      </c>
      <c r="CH95" s="2">
        <f t="shared" si="8"/>
        <v>158.53278012581171</v>
      </c>
      <c r="CI95" s="5">
        <v>0.8138813815</v>
      </c>
      <c r="CJ95" s="20">
        <f t="shared" si="13"/>
        <v>0.93051676378789328</v>
      </c>
    </row>
    <row r="96" spans="1:88" x14ac:dyDescent="0.25">
      <c r="A96" s="5">
        <v>0.99784338130000005</v>
      </c>
      <c r="B96" s="6"/>
      <c r="C96" s="5">
        <v>0.8138813815</v>
      </c>
      <c r="D96" s="5"/>
      <c r="E96" s="10">
        <f t="shared" si="9"/>
        <v>0.93015015028571424</v>
      </c>
      <c r="F96" s="5"/>
      <c r="G96" s="3">
        <f t="shared" si="10"/>
        <v>144.95033776930481</v>
      </c>
      <c r="H96" s="25">
        <v>5.8209167100000004E-3</v>
      </c>
      <c r="I96" s="5">
        <v>-1.7370810839999999</v>
      </c>
      <c r="J96" s="5">
        <v>-6.1047220030000002E-2</v>
      </c>
      <c r="K96" s="4"/>
      <c r="AM96" s="9">
        <v>1.0913454069999999</v>
      </c>
      <c r="AN96" s="6"/>
      <c r="AO96" s="5">
        <v>0.8138813815</v>
      </c>
      <c r="AP96" s="5"/>
      <c r="AQ96" s="10">
        <f t="shared" si="11"/>
        <v>0.93015015028571424</v>
      </c>
      <c r="AR96" s="5"/>
      <c r="AS96" s="3">
        <f t="shared" si="12"/>
        <v>158.53278012581171</v>
      </c>
      <c r="AT96" s="28">
        <v>3.141668282E-3</v>
      </c>
      <c r="AU96" s="5">
        <v>-1.502185946</v>
      </c>
      <c r="AV96" s="5">
        <v>-5.3006194219999997E-2</v>
      </c>
      <c r="CE96" s="5">
        <v>0.93914784470000001</v>
      </c>
      <c r="CF96" s="9">
        <v>1.030240566</v>
      </c>
      <c r="CG96" s="2">
        <f t="shared" si="7"/>
        <v>136.42401187972845</v>
      </c>
      <c r="CH96" s="2">
        <f t="shared" si="8"/>
        <v>149.65646996704666</v>
      </c>
      <c r="CI96" s="5">
        <v>0.82583505099999999</v>
      </c>
      <c r="CJ96" s="20">
        <f t="shared" si="13"/>
        <v>0.94418348489905812</v>
      </c>
    </row>
    <row r="97" spans="1:88" x14ac:dyDescent="0.25">
      <c r="A97" s="5">
        <v>0.93914784470000001</v>
      </c>
      <c r="B97" s="6"/>
      <c r="C97" s="5">
        <v>0.82583505099999999</v>
      </c>
      <c r="D97" s="5"/>
      <c r="E97" s="10">
        <f t="shared" si="9"/>
        <v>0.94381148685714289</v>
      </c>
      <c r="F97" s="5"/>
      <c r="G97" s="3">
        <f t="shared" si="10"/>
        <v>136.42401187972845</v>
      </c>
      <c r="H97" s="25">
        <v>4.4540460560000003E-3</v>
      </c>
      <c r="I97" s="5">
        <v>-1.3170304660000001</v>
      </c>
      <c r="J97" s="5">
        <v>-3.8265248389999999E-2</v>
      </c>
      <c r="K97" s="4"/>
      <c r="M97" s="4"/>
      <c r="AM97" s="9">
        <v>1.030240566</v>
      </c>
      <c r="AN97" s="6"/>
      <c r="AO97" s="5">
        <v>0.82583505099999999</v>
      </c>
      <c r="AP97" s="5"/>
      <c r="AQ97" s="10">
        <f t="shared" si="11"/>
        <v>0.94381148685714289</v>
      </c>
      <c r="AR97" s="5"/>
      <c r="AS97" s="3">
        <f t="shared" si="12"/>
        <v>149.65646996704666</v>
      </c>
      <c r="AT97" s="28">
        <v>2.4110278300000002E-3</v>
      </c>
      <c r="AU97" s="5">
        <v>-1.142042472</v>
      </c>
      <c r="AV97" s="5">
        <v>-3.3304893019999997E-2</v>
      </c>
      <c r="CE97" s="5">
        <v>0.87210618600000001</v>
      </c>
      <c r="CF97" s="9">
        <v>0.9597403175</v>
      </c>
      <c r="CG97" s="2">
        <f t="shared" si="7"/>
        <v>126.68529811432859</v>
      </c>
      <c r="CH97" s="2">
        <f t="shared" si="8"/>
        <v>139.4153489410381</v>
      </c>
      <c r="CI97" s="5">
        <v>0.83654451620000003</v>
      </c>
      <c r="CJ97" s="20">
        <f t="shared" si="13"/>
        <v>0.95642769778599845</v>
      </c>
    </row>
    <row r="98" spans="1:88" x14ac:dyDescent="0.25">
      <c r="A98" s="5">
        <v>0.87210618600000001</v>
      </c>
      <c r="B98" s="6"/>
      <c r="C98" s="5">
        <v>0.83654451620000003</v>
      </c>
      <c r="D98" s="6"/>
      <c r="E98" s="10">
        <f t="shared" si="9"/>
        <v>0.95605087565714286</v>
      </c>
      <c r="F98" s="5"/>
      <c r="G98" s="3">
        <f t="shared" si="10"/>
        <v>126.68529811432859</v>
      </c>
      <c r="H98" s="25">
        <v>3.3058759419999999E-3</v>
      </c>
      <c r="I98" s="5">
        <v>-0.9649113695</v>
      </c>
      <c r="J98" s="5">
        <v>-2.268090583E-2</v>
      </c>
      <c r="M98" s="4"/>
      <c r="AM98" s="9">
        <v>0.9597403175</v>
      </c>
      <c r="AN98" s="6"/>
      <c r="AO98" s="5">
        <v>0.83654451620000003</v>
      </c>
      <c r="AP98" s="6"/>
      <c r="AQ98" s="10">
        <f t="shared" si="11"/>
        <v>0.95605087565714286</v>
      </c>
      <c r="AR98" s="5"/>
      <c r="AS98" s="3">
        <f t="shared" si="12"/>
        <v>139.4153489410381</v>
      </c>
      <c r="AT98" s="28">
        <v>1.7952598409999999E-3</v>
      </c>
      <c r="AU98" s="5">
        <v>-0.8391429359</v>
      </c>
      <c r="AV98" s="5">
        <v>-1.9791172900000001E-2</v>
      </c>
      <c r="CE98" s="5">
        <v>0.79620138370000004</v>
      </c>
      <c r="CF98" s="9">
        <v>0.87912693880000004</v>
      </c>
      <c r="CG98" s="2">
        <f t="shared" si="7"/>
        <v>115.65909206046548</v>
      </c>
      <c r="CH98" s="2">
        <f t="shared" si="8"/>
        <v>127.70515805309871</v>
      </c>
      <c r="CI98" s="5">
        <v>0.84598042299999998</v>
      </c>
      <c r="CJ98" s="20">
        <f t="shared" si="13"/>
        <v>0.96721584168327979</v>
      </c>
    </row>
    <row r="99" spans="1:88" x14ac:dyDescent="0.25">
      <c r="A99" s="5">
        <v>0.79620138370000004</v>
      </c>
      <c r="B99" s="5"/>
      <c r="C99" s="5">
        <v>0.84598042299999998</v>
      </c>
      <c r="D99" s="6"/>
      <c r="E99" s="10">
        <f t="shared" si="9"/>
        <v>0.96683476914285715</v>
      </c>
      <c r="F99" s="5"/>
      <c r="G99" s="3">
        <f t="shared" si="10"/>
        <v>115.65909206046548</v>
      </c>
      <c r="H99" s="25">
        <v>2.3589428319999999E-3</v>
      </c>
      <c r="I99" s="5">
        <v>-0.67684292560000003</v>
      </c>
      <c r="J99" s="5">
        <v>-1.2531621979999999E-2</v>
      </c>
      <c r="M99" s="4"/>
      <c r="AM99" s="9">
        <v>0.87912693880000004</v>
      </c>
      <c r="AN99" s="5"/>
      <c r="AO99" s="5">
        <v>0.84598042299999998</v>
      </c>
      <c r="AP99" s="6"/>
      <c r="AQ99" s="10">
        <f t="shared" si="11"/>
        <v>0.96683476914285715</v>
      </c>
      <c r="AR99" s="5"/>
      <c r="AS99" s="3">
        <f t="shared" si="12"/>
        <v>127.70515805309871</v>
      </c>
      <c r="AT99" s="28">
        <v>1.2854225189999999E-3</v>
      </c>
      <c r="AU99" s="5">
        <v>-0.59045479460000005</v>
      </c>
      <c r="AV99" s="5">
        <v>-1.096476654E-2</v>
      </c>
      <c r="CE99" s="5">
        <v>0.71103532319999996</v>
      </c>
      <c r="CF99" s="9">
        <v>0.78780333550000003</v>
      </c>
      <c r="CG99" s="2">
        <f t="shared" si="7"/>
        <v>103.2875621517607</v>
      </c>
      <c r="CH99" s="2">
        <f t="shared" si="8"/>
        <v>114.43916121159118</v>
      </c>
      <c r="CI99" s="5">
        <v>0.85411690829999998</v>
      </c>
      <c r="CJ99" s="20">
        <f t="shared" si="13"/>
        <v>0.97651834711227725</v>
      </c>
    </row>
    <row r="100" spans="1:88" x14ac:dyDescent="0.25">
      <c r="A100" s="5">
        <v>0.71103532319999996</v>
      </c>
      <c r="B100" s="5"/>
      <c r="C100" s="5">
        <v>0.85411690829999998</v>
      </c>
      <c r="D100" s="6"/>
      <c r="E100" s="10">
        <f t="shared" si="9"/>
        <v>0.97613360948571426</v>
      </c>
      <c r="F100" s="5"/>
      <c r="G100" s="3">
        <f t="shared" si="10"/>
        <v>103.2875621517607</v>
      </c>
      <c r="H100" s="25">
        <v>1.5973435559999999E-3</v>
      </c>
      <c r="I100" s="5">
        <v>-0.44848310790000001</v>
      </c>
      <c r="J100" s="5">
        <v>-6.321623912E-3</v>
      </c>
      <c r="M100" s="4"/>
      <c r="AM100" s="9">
        <v>0.78780333550000003</v>
      </c>
      <c r="AN100" s="5"/>
      <c r="AO100" s="5">
        <v>0.85411690829999998</v>
      </c>
      <c r="AP100" s="6"/>
      <c r="AQ100" s="10">
        <f t="shared" si="11"/>
        <v>0.97613360948571426</v>
      </c>
      <c r="AR100" s="5"/>
      <c r="AS100" s="3">
        <f t="shared" si="12"/>
        <v>114.43916121159118</v>
      </c>
      <c r="AT100" s="28">
        <v>8.7346443140000004E-4</v>
      </c>
      <c r="AU100" s="5">
        <v>-0.3925548244</v>
      </c>
      <c r="AV100" s="5">
        <v>-5.5473750120000002E-3</v>
      </c>
      <c r="CE100" s="5">
        <v>0.61637954689999996</v>
      </c>
      <c r="CF100" s="9">
        <v>0.68535846680000001</v>
      </c>
      <c r="CG100" s="2">
        <f t="shared" si="7"/>
        <v>89.537521811135591</v>
      </c>
      <c r="CH100" s="2">
        <f t="shared" si="8"/>
        <v>99.557649143583959</v>
      </c>
      <c r="CI100" s="5">
        <v>0.86093167059999998</v>
      </c>
      <c r="CJ100" s="20">
        <f t="shared" si="13"/>
        <v>0.98430971659869149</v>
      </c>
    </row>
    <row r="101" spans="1:88" x14ac:dyDescent="0.25">
      <c r="A101" s="5">
        <v>0.61637954689999996</v>
      </c>
      <c r="B101" s="5"/>
      <c r="C101" s="5">
        <v>0.86093167059999998</v>
      </c>
      <c r="D101" s="6"/>
      <c r="E101" s="10">
        <f t="shared" si="9"/>
        <v>0.98392190925714285</v>
      </c>
      <c r="F101" s="5"/>
      <c r="G101" s="3">
        <f t="shared" si="10"/>
        <v>89.537521811135591</v>
      </c>
      <c r="H101" s="25">
        <v>1.006238337E-3</v>
      </c>
      <c r="I101" s="5">
        <v>-0.2749432316</v>
      </c>
      <c r="J101" s="5">
        <v>-2.820590874E-3</v>
      </c>
      <c r="M101" s="4"/>
      <c r="AM101" s="9">
        <v>0.68535846680000001</v>
      </c>
      <c r="AN101" s="5"/>
      <c r="AO101" s="5">
        <v>0.86093167059999998</v>
      </c>
      <c r="AP101" s="6"/>
      <c r="AQ101" s="10">
        <f t="shared" si="11"/>
        <v>0.98392190925714285</v>
      </c>
      <c r="AR101" s="5"/>
      <c r="AS101" s="3">
        <f t="shared" si="12"/>
        <v>99.557649143583959</v>
      </c>
      <c r="AT101" s="28">
        <v>5.5198500089999997E-4</v>
      </c>
      <c r="AU101" s="5">
        <v>-0.24153755269999999</v>
      </c>
      <c r="AV101" s="5">
        <v>-2.4829398410000001E-3</v>
      </c>
      <c r="CE101" s="5">
        <v>0.51226107320000003</v>
      </c>
      <c r="CF101" s="9">
        <v>0.57166183010000005</v>
      </c>
      <c r="CG101" s="2">
        <f t="shared" si="7"/>
        <v>74.412895829072696</v>
      </c>
      <c r="CH101" s="2">
        <f t="shared" si="8"/>
        <v>83.041664569503652</v>
      </c>
      <c r="CI101" s="5">
        <v>0.86640603100000002</v>
      </c>
      <c r="CJ101" s="20">
        <f t="shared" si="13"/>
        <v>0.99056859441431167</v>
      </c>
    </row>
    <row r="102" spans="1:88" x14ac:dyDescent="0.25">
      <c r="A102" s="5">
        <v>0.51226107320000003</v>
      </c>
      <c r="B102" s="5"/>
      <c r="C102" s="5">
        <v>0.86640603100000002</v>
      </c>
      <c r="D102" s="6"/>
      <c r="E102" s="10">
        <f t="shared" si="9"/>
        <v>0.9901783211428572</v>
      </c>
      <c r="F102" s="5"/>
      <c r="G102" s="3">
        <f t="shared" si="10"/>
        <v>74.412895829072696</v>
      </c>
      <c r="H102" s="25">
        <v>5.7099323510000001E-4</v>
      </c>
      <c r="I102" s="5">
        <v>-0.1506743995</v>
      </c>
      <c r="J102" s="5">
        <v>-1.056436439E-3</v>
      </c>
      <c r="M102" s="4"/>
      <c r="AM102" s="9">
        <v>0.57166183010000005</v>
      </c>
      <c r="AN102" s="5"/>
      <c r="AO102" s="5">
        <v>0.86640603100000002</v>
      </c>
      <c r="AP102" s="6"/>
      <c r="AQ102" s="10">
        <f t="shared" si="11"/>
        <v>0.9901783211428572</v>
      </c>
      <c r="AR102" s="5"/>
      <c r="AS102" s="3">
        <f t="shared" si="12"/>
        <v>83.041664569503652</v>
      </c>
      <c r="AT102" s="28">
        <v>3.1380537260000002E-4</v>
      </c>
      <c r="AU102" s="5">
        <v>-0.13289977489999999</v>
      </c>
      <c r="AV102" s="5">
        <v>-9.3313065909999995E-4</v>
      </c>
      <c r="CE102" s="5">
        <v>0.3992435802</v>
      </c>
      <c r="CF102" s="9">
        <v>0.44712529029999998</v>
      </c>
      <c r="CG102" s="2">
        <f t="shared" si="7"/>
        <v>57.99556612463801</v>
      </c>
      <c r="CH102" s="2">
        <f t="shared" si="8"/>
        <v>64.951036474027731</v>
      </c>
      <c r="CI102" s="5">
        <v>0.87052498489999997</v>
      </c>
      <c r="CJ102" s="20">
        <f t="shared" si="13"/>
        <v>0.99527782568601819</v>
      </c>
    </row>
    <row r="103" spans="1:88" x14ac:dyDescent="0.25">
      <c r="A103" s="5">
        <v>0.3992435802</v>
      </c>
      <c r="B103" s="5"/>
      <c r="C103" s="5">
        <v>0.87052498489999997</v>
      </c>
      <c r="D103" s="6"/>
      <c r="E103" s="10">
        <f t="shared" si="9"/>
        <v>0.99488569702857144</v>
      </c>
      <c r="F103" s="5"/>
      <c r="G103" s="3">
        <f t="shared" si="10"/>
        <v>57.99556612463801</v>
      </c>
      <c r="H103" s="25">
        <v>2.7571036299999999E-4</v>
      </c>
      <c r="I103" s="5">
        <v>-6.9302020850000007E-2</v>
      </c>
      <c r="J103" s="5">
        <v>-3.0172518270000001E-4</v>
      </c>
      <c r="M103" s="4"/>
      <c r="AM103" s="9">
        <v>0.44712529029999998</v>
      </c>
      <c r="AN103" s="5"/>
      <c r="AO103" s="5">
        <v>0.87052498489999997</v>
      </c>
      <c r="AP103" s="6"/>
      <c r="AQ103" s="10">
        <f t="shared" si="11"/>
        <v>0.99488569702857144</v>
      </c>
      <c r="AR103" s="5"/>
      <c r="AS103" s="3">
        <f t="shared" si="12"/>
        <v>64.951036474027731</v>
      </c>
      <c r="AT103" s="28">
        <v>1.512124914E-4</v>
      </c>
      <c r="AU103" s="5">
        <v>-6.1387693889999997E-2</v>
      </c>
      <c r="AV103" s="5">
        <v>-2.6745051469999998E-4</v>
      </c>
      <c r="CE103" s="5">
        <v>0.27942670530000002</v>
      </c>
      <c r="CF103" s="9">
        <v>0.31384075810000001</v>
      </c>
      <c r="CG103" s="2">
        <f t="shared" si="7"/>
        <v>40.590533618844368</v>
      </c>
      <c r="CH103" s="2">
        <f t="shared" si="8"/>
        <v>45.589643369787296</v>
      </c>
      <c r="CI103" s="5">
        <v>0.87327724220000003</v>
      </c>
      <c r="CJ103" s="20">
        <f t="shared" si="13"/>
        <v>0.99842450235674829</v>
      </c>
    </row>
    <row r="104" spans="1:88" x14ac:dyDescent="0.25">
      <c r="A104" s="5">
        <v>0.27942670530000002</v>
      </c>
      <c r="B104" s="5"/>
      <c r="C104" s="8">
        <v>0.873</v>
      </c>
      <c r="D104" s="6"/>
      <c r="E104" s="10">
        <f t="shared" si="9"/>
        <v>0.99771428571428566</v>
      </c>
      <c r="F104" s="5"/>
      <c r="G104" s="3">
        <f t="shared" si="10"/>
        <v>40.590533618844368</v>
      </c>
      <c r="H104" s="25">
        <v>1.01E-4</v>
      </c>
      <c r="I104" s="5">
        <v>-2.334787592E-2</v>
      </c>
      <c r="J104" s="8">
        <v>-5.3100000000000003E-5</v>
      </c>
      <c r="M104" s="4"/>
      <c r="AM104" s="9">
        <v>0.31384075810000001</v>
      </c>
      <c r="AN104" s="5"/>
      <c r="AO104" s="5">
        <v>0.87327724220000003</v>
      </c>
      <c r="AP104" s="6"/>
      <c r="AQ104" s="10">
        <f t="shared" si="11"/>
        <v>0.99803113394285714</v>
      </c>
      <c r="AR104" s="5"/>
      <c r="AS104" s="3">
        <f t="shared" si="12"/>
        <v>45.589643369787296</v>
      </c>
      <c r="AT104" s="28">
        <v>5.4599999999999999E-5</v>
      </c>
      <c r="AU104" s="5">
        <v>-2.076022039E-2</v>
      </c>
      <c r="AV104" s="8">
        <v>-4.7200000000000002E-5</v>
      </c>
      <c r="CE104" s="5">
        <v>0.16262872380000001</v>
      </c>
      <c r="CF104" s="9">
        <v>0.18293767420000001</v>
      </c>
      <c r="CG104" s="2">
        <f t="shared" si="7"/>
        <v>23.624036484653264</v>
      </c>
      <c r="CH104" s="2">
        <f t="shared" si="8"/>
        <v>26.574188056921912</v>
      </c>
      <c r="CI104" s="5">
        <v>0.8746552595</v>
      </c>
      <c r="CJ104" s="20">
        <f t="shared" si="13"/>
        <v>1</v>
      </c>
    </row>
    <row r="105" spans="1:88" x14ac:dyDescent="0.25">
      <c r="A105" s="5">
        <v>0.16262872380000001</v>
      </c>
      <c r="B105" s="5"/>
      <c r="C105" s="8">
        <v>0.875</v>
      </c>
      <c r="D105" s="6"/>
      <c r="E105" s="10">
        <f t="shared" si="9"/>
        <v>1</v>
      </c>
      <c r="F105" s="5"/>
      <c r="G105" s="3">
        <f t="shared" si="10"/>
        <v>23.624036484653264</v>
      </c>
      <c r="H105" s="25">
        <v>2.0100000000000001E-5</v>
      </c>
      <c r="I105" s="5">
        <v>-3.816823338E-3</v>
      </c>
      <c r="J105" s="8">
        <v>-2.7499999999999999E-6</v>
      </c>
      <c r="AM105" s="9">
        <v>0.18293767420000001</v>
      </c>
      <c r="AN105" s="5"/>
      <c r="AO105" s="5">
        <v>0.8746552595</v>
      </c>
      <c r="AP105" s="6"/>
      <c r="AQ105" s="10">
        <f t="shared" si="11"/>
        <v>0.99960601085714285</v>
      </c>
      <c r="AR105" s="5"/>
      <c r="AS105" s="3">
        <f t="shared" si="12"/>
        <v>26.574188056921912</v>
      </c>
      <c r="AT105" s="28">
        <v>1.0499999999999999E-5</v>
      </c>
      <c r="AU105" s="5">
        <v>-3.3987614059999998E-3</v>
      </c>
      <c r="AV105" s="8">
        <v>-2.4499999999999998E-6</v>
      </c>
      <c r="CE105" s="2"/>
      <c r="CF105" s="19"/>
      <c r="CG105" s="2">
        <f t="shared" si="7"/>
        <v>0</v>
      </c>
      <c r="CH105" s="2">
        <f t="shared" si="8"/>
        <v>0</v>
      </c>
      <c r="CI105" s="2"/>
      <c r="CJ105" s="20">
        <f t="shared" si="13"/>
        <v>0</v>
      </c>
    </row>
    <row r="106" spans="1:88" x14ac:dyDescent="0.25">
      <c r="A106" s="5"/>
      <c r="B106" s="5"/>
      <c r="C106" s="5"/>
      <c r="D106" s="5"/>
      <c r="E106" s="10">
        <f t="shared" si="9"/>
        <v>0</v>
      </c>
      <c r="F106" s="5"/>
      <c r="G106" s="3">
        <f t="shared" si="10"/>
        <v>0</v>
      </c>
      <c r="H106" s="25"/>
      <c r="I106" s="5"/>
      <c r="J106" s="5"/>
      <c r="AM106" s="9"/>
      <c r="AN106" s="5"/>
      <c r="AO106" s="5"/>
      <c r="AP106" s="5"/>
      <c r="AQ106" s="10">
        <f t="shared" si="11"/>
        <v>0</v>
      </c>
      <c r="AR106" s="5"/>
      <c r="AS106" s="3">
        <f t="shared" si="12"/>
        <v>0</v>
      </c>
      <c r="AT106" s="28"/>
      <c r="AU106" s="5"/>
      <c r="AV106" s="5"/>
      <c r="CE106" s="2"/>
      <c r="CF106" s="19"/>
      <c r="CG106" s="2">
        <f t="shared" si="7"/>
        <v>0</v>
      </c>
      <c r="CH106" s="2">
        <f t="shared" si="8"/>
        <v>0</v>
      </c>
      <c r="CI106" s="2"/>
      <c r="CJ106" s="20">
        <f t="shared" si="13"/>
        <v>0</v>
      </c>
    </row>
    <row r="107" spans="1:88" x14ac:dyDescent="0.25">
      <c r="A107" s="5"/>
      <c r="B107" s="5"/>
      <c r="C107" s="5"/>
      <c r="D107" s="5"/>
      <c r="E107" s="10">
        <f t="shared" si="9"/>
        <v>0</v>
      </c>
      <c r="F107" s="5"/>
      <c r="G107" s="3">
        <f t="shared" si="10"/>
        <v>0</v>
      </c>
      <c r="H107" s="25"/>
      <c r="I107" s="5"/>
      <c r="J107" s="5"/>
      <c r="AM107" s="9"/>
      <c r="AN107" s="5"/>
      <c r="AO107" s="5"/>
      <c r="AP107" s="5"/>
      <c r="AQ107" s="10">
        <f t="shared" si="11"/>
        <v>0</v>
      </c>
      <c r="AR107" s="5"/>
      <c r="AS107" s="3">
        <f t="shared" si="12"/>
        <v>0</v>
      </c>
      <c r="AT107" s="28"/>
      <c r="AU107" s="5"/>
      <c r="AV107" s="5"/>
      <c r="CE107" s="2"/>
      <c r="CF107" s="19"/>
      <c r="CG107" s="2">
        <f t="shared" si="7"/>
        <v>0</v>
      </c>
      <c r="CH107" s="2">
        <f t="shared" si="8"/>
        <v>0</v>
      </c>
      <c r="CI107" s="2"/>
      <c r="CJ107" s="20">
        <f t="shared" si="13"/>
        <v>0</v>
      </c>
    </row>
    <row r="108" spans="1:88" x14ac:dyDescent="0.25">
      <c r="A108" s="5"/>
      <c r="B108" s="5"/>
      <c r="C108" s="5"/>
      <c r="D108" s="5"/>
      <c r="E108" s="10">
        <f t="shared" si="9"/>
        <v>0</v>
      </c>
      <c r="F108" s="5"/>
      <c r="G108" s="3">
        <f t="shared" si="10"/>
        <v>0</v>
      </c>
      <c r="H108" s="25"/>
      <c r="I108" s="5"/>
      <c r="J108" s="5"/>
      <c r="AM108" s="9"/>
      <c r="AN108" s="5"/>
      <c r="AO108" s="5"/>
      <c r="AP108" s="5"/>
      <c r="AQ108" s="10">
        <f t="shared" si="11"/>
        <v>0</v>
      </c>
      <c r="AR108" s="5"/>
      <c r="AS108" s="3">
        <f t="shared" si="12"/>
        <v>0</v>
      </c>
      <c r="AT108" s="28"/>
      <c r="AU108" s="5"/>
      <c r="AV108" s="5"/>
      <c r="CE108" s="2"/>
      <c r="CF108" s="19"/>
      <c r="CG108" s="2">
        <f t="shared" si="7"/>
        <v>0</v>
      </c>
      <c r="CH108" s="2">
        <f t="shared" si="8"/>
        <v>0</v>
      </c>
      <c r="CI108" s="2"/>
      <c r="CJ108" s="20">
        <f t="shared" si="13"/>
        <v>0</v>
      </c>
    </row>
    <row r="109" spans="1:88" x14ac:dyDescent="0.25">
      <c r="A109" s="5"/>
      <c r="B109" s="5"/>
      <c r="C109" s="5"/>
      <c r="D109" s="5"/>
      <c r="E109" s="10">
        <f t="shared" si="9"/>
        <v>0</v>
      </c>
      <c r="F109" s="5"/>
      <c r="G109" s="3">
        <f t="shared" si="10"/>
        <v>0</v>
      </c>
      <c r="H109" s="25"/>
      <c r="I109" s="5"/>
      <c r="J109" s="5"/>
      <c r="AM109" s="9"/>
      <c r="AN109" s="5"/>
      <c r="AO109" s="5"/>
      <c r="AP109" s="5"/>
      <c r="AQ109" s="10">
        <f t="shared" si="11"/>
        <v>0</v>
      </c>
      <c r="AR109" s="5"/>
      <c r="AS109" s="3">
        <f t="shared" si="12"/>
        <v>0</v>
      </c>
      <c r="AT109" s="28"/>
      <c r="AU109" s="5"/>
      <c r="AV109" s="5"/>
      <c r="CE109" s="2"/>
      <c r="CF109" s="19"/>
      <c r="CG109" s="2">
        <f t="shared" si="7"/>
        <v>0</v>
      </c>
      <c r="CH109" s="2">
        <f t="shared" si="8"/>
        <v>0</v>
      </c>
      <c r="CI109" s="2"/>
      <c r="CJ109" s="20">
        <f t="shared" si="13"/>
        <v>0</v>
      </c>
    </row>
    <row r="110" spans="1:88" x14ac:dyDescent="0.25">
      <c r="A110" s="5"/>
      <c r="B110" s="5"/>
      <c r="C110" s="5"/>
      <c r="D110" s="5"/>
      <c r="E110" s="10">
        <f t="shared" si="9"/>
        <v>0</v>
      </c>
      <c r="F110" s="5"/>
      <c r="G110" s="3">
        <f t="shared" si="10"/>
        <v>0</v>
      </c>
      <c r="H110" s="25"/>
      <c r="I110" s="5"/>
      <c r="J110" s="5"/>
      <c r="AM110" s="9"/>
      <c r="AN110" s="5"/>
      <c r="AO110" s="5"/>
      <c r="AP110" s="5"/>
      <c r="AQ110" s="10">
        <f t="shared" si="11"/>
        <v>0</v>
      </c>
      <c r="AR110" s="5"/>
      <c r="AS110" s="3">
        <f t="shared" si="12"/>
        <v>0</v>
      </c>
      <c r="AT110" s="28"/>
      <c r="AU110" s="5"/>
      <c r="AV110" s="5"/>
      <c r="CE110" s="2"/>
      <c r="CF110" s="19"/>
      <c r="CG110" s="2">
        <f t="shared" si="7"/>
        <v>0</v>
      </c>
      <c r="CH110" s="2">
        <f t="shared" si="8"/>
        <v>0</v>
      </c>
      <c r="CI110" s="2"/>
      <c r="CJ110" s="20">
        <f t="shared" si="13"/>
        <v>0</v>
      </c>
    </row>
    <row r="111" spans="1:88" x14ac:dyDescent="0.25">
      <c r="A111" s="5"/>
      <c r="B111" s="5"/>
      <c r="C111" s="5"/>
      <c r="D111" s="5"/>
      <c r="E111" s="10">
        <f t="shared" si="9"/>
        <v>0</v>
      </c>
      <c r="F111" s="5"/>
      <c r="G111" s="3">
        <f t="shared" si="10"/>
        <v>0</v>
      </c>
      <c r="H111" s="25"/>
      <c r="I111" s="5"/>
      <c r="J111" s="5"/>
      <c r="AM111" s="9"/>
      <c r="AN111" s="5"/>
      <c r="AO111" s="5"/>
      <c r="AP111" s="5"/>
      <c r="AQ111" s="10">
        <f t="shared" si="11"/>
        <v>0</v>
      </c>
      <c r="AR111" s="5"/>
      <c r="AS111" s="3">
        <f t="shared" si="12"/>
        <v>0</v>
      </c>
      <c r="AT111" s="28"/>
      <c r="AU111" s="5"/>
      <c r="AV111" s="5"/>
      <c r="CE111" s="2"/>
      <c r="CF111" s="19"/>
      <c r="CG111" s="2">
        <f t="shared" si="7"/>
        <v>0</v>
      </c>
      <c r="CH111" s="2">
        <f t="shared" si="8"/>
        <v>0</v>
      </c>
      <c r="CI111" s="2"/>
      <c r="CJ111" s="20">
        <f t="shared" si="13"/>
        <v>0</v>
      </c>
    </row>
    <row r="112" spans="1:88" x14ac:dyDescent="0.25">
      <c r="A112" s="5"/>
      <c r="B112" s="5"/>
      <c r="C112" s="5"/>
      <c r="D112" s="5"/>
      <c r="E112" s="10">
        <f t="shared" si="9"/>
        <v>0</v>
      </c>
      <c r="F112" s="5"/>
      <c r="G112" s="3">
        <f t="shared" si="10"/>
        <v>0</v>
      </c>
      <c r="H112" s="25"/>
      <c r="I112" s="5"/>
      <c r="J112" s="5"/>
      <c r="AM112" s="9"/>
      <c r="AN112" s="5"/>
      <c r="AO112" s="5"/>
      <c r="AP112" s="5"/>
      <c r="AQ112" s="10">
        <f t="shared" si="11"/>
        <v>0</v>
      </c>
      <c r="AR112" s="5"/>
      <c r="AS112" s="3">
        <f t="shared" si="12"/>
        <v>0</v>
      </c>
      <c r="AT112" s="28"/>
      <c r="AU112" s="5"/>
      <c r="AV112" s="5"/>
      <c r="CE112" s="2"/>
      <c r="CF112" s="19"/>
      <c r="CG112" s="2">
        <f t="shared" si="7"/>
        <v>0</v>
      </c>
      <c r="CH112" s="2">
        <f t="shared" si="8"/>
        <v>0</v>
      </c>
      <c r="CI112" s="2"/>
      <c r="CJ112" s="20">
        <f t="shared" si="13"/>
        <v>0</v>
      </c>
    </row>
    <row r="113" spans="1:88" x14ac:dyDescent="0.25">
      <c r="A113" s="5"/>
      <c r="B113" s="5"/>
      <c r="C113" s="5"/>
      <c r="D113" s="5"/>
      <c r="E113" s="10">
        <f t="shared" si="9"/>
        <v>0</v>
      </c>
      <c r="F113" s="5"/>
      <c r="G113" s="3">
        <f t="shared" si="10"/>
        <v>0</v>
      </c>
      <c r="H113" s="25"/>
      <c r="I113" s="5"/>
      <c r="J113" s="5"/>
      <c r="AM113" s="9"/>
      <c r="AN113" s="5"/>
      <c r="AO113" s="5"/>
      <c r="AP113" s="5"/>
      <c r="AQ113" s="10">
        <f t="shared" si="11"/>
        <v>0</v>
      </c>
      <c r="AR113" s="5"/>
      <c r="AS113" s="3">
        <f t="shared" si="12"/>
        <v>0</v>
      </c>
      <c r="AT113" s="28"/>
      <c r="AU113" s="5"/>
      <c r="AV113" s="5"/>
      <c r="CE113" s="2"/>
      <c r="CF113" s="19"/>
      <c r="CG113" s="2">
        <f t="shared" si="7"/>
        <v>0</v>
      </c>
      <c r="CH113" s="2">
        <f t="shared" si="8"/>
        <v>0</v>
      </c>
      <c r="CI113" s="2"/>
      <c r="CJ113" s="20">
        <f t="shared" si="13"/>
        <v>0</v>
      </c>
    </row>
    <row r="114" spans="1:88" x14ac:dyDescent="0.25">
      <c r="A114" s="5"/>
      <c r="B114" s="5"/>
      <c r="C114" s="5"/>
      <c r="D114" s="5"/>
      <c r="E114" s="10">
        <f t="shared" si="9"/>
        <v>0</v>
      </c>
      <c r="F114" s="5"/>
      <c r="G114" s="3">
        <f t="shared" si="10"/>
        <v>0</v>
      </c>
      <c r="H114" s="25"/>
      <c r="I114" s="5"/>
      <c r="J114" s="5"/>
      <c r="AM114" s="9"/>
      <c r="AN114" s="5"/>
      <c r="AO114" s="5"/>
      <c r="AP114" s="5"/>
      <c r="AQ114" s="10">
        <f t="shared" si="11"/>
        <v>0</v>
      </c>
      <c r="AR114" s="5"/>
      <c r="AS114" s="3">
        <f t="shared" si="12"/>
        <v>0</v>
      </c>
      <c r="AT114" s="28"/>
      <c r="AU114" s="5"/>
      <c r="AV114" s="5"/>
      <c r="CE114" s="2"/>
      <c r="CF114" s="19"/>
      <c r="CG114" s="2">
        <f t="shared" si="7"/>
        <v>0</v>
      </c>
      <c r="CH114" s="2">
        <f t="shared" si="8"/>
        <v>0</v>
      </c>
      <c r="CI114" s="2"/>
      <c r="CJ114" s="20">
        <f t="shared" si="13"/>
        <v>0</v>
      </c>
    </row>
    <row r="115" spans="1:88" x14ac:dyDescent="0.25">
      <c r="A115" s="5"/>
      <c r="B115" s="5"/>
      <c r="C115" s="5"/>
      <c r="D115" s="5"/>
      <c r="E115" s="10">
        <f t="shared" si="9"/>
        <v>0</v>
      </c>
      <c r="F115" s="5"/>
      <c r="G115" s="3">
        <f t="shared" si="10"/>
        <v>0</v>
      </c>
      <c r="H115" s="25"/>
      <c r="I115" s="5"/>
      <c r="J115" s="5"/>
      <c r="AM115" s="9"/>
      <c r="AN115" s="5"/>
      <c r="AO115" s="5"/>
      <c r="AP115" s="5"/>
      <c r="AQ115" s="10">
        <f t="shared" si="11"/>
        <v>0</v>
      </c>
      <c r="AR115" s="5"/>
      <c r="AS115" s="3">
        <f t="shared" si="12"/>
        <v>0</v>
      </c>
      <c r="AT115" s="28"/>
      <c r="AU115" s="5"/>
      <c r="AV115" s="5"/>
      <c r="CE115" s="2"/>
      <c r="CF115" s="19"/>
      <c r="CG115" s="2">
        <f t="shared" si="7"/>
        <v>0</v>
      </c>
      <c r="CH115" s="2">
        <f t="shared" si="8"/>
        <v>0</v>
      </c>
      <c r="CI115" s="2"/>
      <c r="CJ115" s="20">
        <f t="shared" si="13"/>
        <v>0</v>
      </c>
    </row>
    <row r="116" spans="1:88" x14ac:dyDescent="0.25">
      <c r="A116" s="5"/>
      <c r="B116" s="5"/>
      <c r="C116" s="5"/>
      <c r="D116" s="5"/>
      <c r="E116" s="10">
        <f t="shared" si="9"/>
        <v>0</v>
      </c>
      <c r="F116" s="5"/>
      <c r="G116" s="3">
        <f t="shared" si="10"/>
        <v>0</v>
      </c>
      <c r="H116" s="25"/>
      <c r="I116" s="5"/>
      <c r="J116" s="5"/>
      <c r="AM116" s="9"/>
      <c r="AN116" s="5"/>
      <c r="AO116" s="5"/>
      <c r="AP116" s="5"/>
      <c r="AQ116" s="10">
        <f t="shared" si="11"/>
        <v>0</v>
      </c>
      <c r="AR116" s="5"/>
      <c r="AS116" s="3">
        <f t="shared" si="12"/>
        <v>0</v>
      </c>
      <c r="AT116" s="28"/>
      <c r="AU116" s="5"/>
      <c r="AV116" s="5"/>
      <c r="CE116" s="2"/>
      <c r="CF116" s="19"/>
      <c r="CG116" s="2">
        <f t="shared" si="7"/>
        <v>0</v>
      </c>
      <c r="CH116" s="2">
        <f t="shared" si="8"/>
        <v>0</v>
      </c>
      <c r="CI116" s="2"/>
      <c r="CJ116" s="20">
        <f t="shared" si="13"/>
        <v>0</v>
      </c>
    </row>
    <row r="117" spans="1:88" x14ac:dyDescent="0.25">
      <c r="A117" s="5"/>
      <c r="B117" s="5"/>
      <c r="C117" s="5"/>
      <c r="D117" s="5"/>
      <c r="E117" s="10">
        <f t="shared" si="9"/>
        <v>0</v>
      </c>
      <c r="F117" s="5"/>
      <c r="G117" s="3">
        <f t="shared" si="10"/>
        <v>0</v>
      </c>
      <c r="H117" s="25"/>
      <c r="I117" s="5"/>
      <c r="J117" s="5"/>
      <c r="AM117" s="9"/>
      <c r="AN117" s="5"/>
      <c r="AO117" s="5"/>
      <c r="AP117" s="5"/>
      <c r="AQ117" s="10">
        <f t="shared" si="11"/>
        <v>0</v>
      </c>
      <c r="AR117" s="5"/>
      <c r="AS117" s="3">
        <f t="shared" si="12"/>
        <v>0</v>
      </c>
      <c r="AT117" s="28"/>
      <c r="AU117" s="5"/>
      <c r="AV117" s="5"/>
      <c r="CE117" s="2"/>
      <c r="CF117" s="19"/>
      <c r="CG117" s="2">
        <f t="shared" si="7"/>
        <v>0</v>
      </c>
      <c r="CH117" s="2">
        <f t="shared" si="8"/>
        <v>0</v>
      </c>
      <c r="CI117" s="2"/>
      <c r="CJ117" s="20">
        <f t="shared" si="13"/>
        <v>0</v>
      </c>
    </row>
    <row r="118" spans="1:88" x14ac:dyDescent="0.25">
      <c r="A118" s="5"/>
      <c r="B118" s="5"/>
      <c r="C118" s="5"/>
      <c r="D118" s="5"/>
      <c r="E118" s="10">
        <f t="shared" si="9"/>
        <v>0</v>
      </c>
      <c r="F118" s="5"/>
      <c r="G118" s="3">
        <f t="shared" si="10"/>
        <v>0</v>
      </c>
      <c r="H118" s="25"/>
      <c r="I118" s="5"/>
      <c r="J118" s="5"/>
      <c r="AM118" s="9"/>
      <c r="AN118" s="5"/>
      <c r="AO118" s="5"/>
      <c r="AP118" s="5"/>
      <c r="AQ118" s="10">
        <f t="shared" si="11"/>
        <v>0</v>
      </c>
      <c r="AR118" s="5"/>
      <c r="AS118" s="3">
        <f t="shared" si="12"/>
        <v>0</v>
      </c>
      <c r="AT118" s="28"/>
      <c r="AU118" s="5"/>
      <c r="AV118" s="5"/>
      <c r="CE118" s="2"/>
      <c r="CF118" s="19"/>
      <c r="CG118" s="2">
        <f t="shared" si="7"/>
        <v>0</v>
      </c>
      <c r="CH118" s="2">
        <f t="shared" si="8"/>
        <v>0</v>
      </c>
      <c r="CI118" s="2"/>
      <c r="CJ118" s="20">
        <f t="shared" si="13"/>
        <v>0</v>
      </c>
    </row>
    <row r="119" spans="1:88" x14ac:dyDescent="0.25">
      <c r="A119" s="5"/>
      <c r="B119" s="5"/>
      <c r="C119" s="5"/>
      <c r="D119" s="5"/>
      <c r="E119" s="10">
        <f t="shared" si="9"/>
        <v>0</v>
      </c>
      <c r="F119" s="5"/>
      <c r="G119" s="3">
        <f t="shared" si="10"/>
        <v>0</v>
      </c>
      <c r="H119" s="25"/>
      <c r="I119" s="5"/>
      <c r="J119" s="5"/>
      <c r="AM119" s="9"/>
      <c r="AN119" s="5"/>
      <c r="AO119" s="5"/>
      <c r="AP119" s="5"/>
      <c r="AQ119" s="10">
        <f t="shared" si="11"/>
        <v>0</v>
      </c>
      <c r="AR119" s="5"/>
      <c r="AS119" s="3">
        <f t="shared" si="12"/>
        <v>0</v>
      </c>
      <c r="AT119" s="28"/>
      <c r="AU119" s="5"/>
      <c r="AV119" s="5"/>
      <c r="CE119" s="2"/>
      <c r="CF119" s="19"/>
      <c r="CG119" s="2">
        <f t="shared" si="7"/>
        <v>0</v>
      </c>
      <c r="CH119" s="2">
        <f t="shared" si="8"/>
        <v>0</v>
      </c>
      <c r="CI119" s="2"/>
      <c r="CJ119" s="20">
        <f t="shared" si="13"/>
        <v>0</v>
      </c>
    </row>
    <row r="120" spans="1:88" x14ac:dyDescent="0.25">
      <c r="A120" s="5"/>
      <c r="B120" s="5"/>
      <c r="C120" s="5"/>
      <c r="D120" s="5"/>
      <c r="E120" s="10">
        <f t="shared" si="9"/>
        <v>0</v>
      </c>
      <c r="F120" s="5"/>
      <c r="G120" s="3">
        <f t="shared" si="10"/>
        <v>0</v>
      </c>
      <c r="H120" s="25"/>
      <c r="I120" s="5"/>
      <c r="J120" s="5"/>
      <c r="AM120" s="9"/>
      <c r="AN120" s="5"/>
      <c r="AO120" s="5"/>
      <c r="AP120" s="5"/>
      <c r="AQ120" s="10">
        <f t="shared" si="11"/>
        <v>0</v>
      </c>
      <c r="AR120" s="5"/>
      <c r="AS120" s="3">
        <f t="shared" si="12"/>
        <v>0</v>
      </c>
      <c r="AT120" s="28"/>
      <c r="AU120" s="5"/>
      <c r="AV120" s="5"/>
      <c r="CE120" s="2"/>
      <c r="CF120" s="19"/>
      <c r="CG120" s="2">
        <f t="shared" si="7"/>
        <v>0</v>
      </c>
      <c r="CH120" s="2">
        <f t="shared" si="8"/>
        <v>0</v>
      </c>
      <c r="CI120" s="2"/>
      <c r="CJ120" s="20">
        <f t="shared" si="13"/>
        <v>0</v>
      </c>
    </row>
    <row r="121" spans="1:88" x14ac:dyDescent="0.25">
      <c r="A121" s="5"/>
      <c r="B121" s="5"/>
      <c r="C121" s="5"/>
      <c r="D121" s="5"/>
      <c r="E121" s="10">
        <f t="shared" si="9"/>
        <v>0</v>
      </c>
      <c r="F121" s="5"/>
      <c r="G121" s="3">
        <f t="shared" si="10"/>
        <v>0</v>
      </c>
      <c r="H121" s="25"/>
      <c r="I121" s="5"/>
      <c r="J121" s="5"/>
      <c r="AM121" s="9"/>
      <c r="AN121" s="5"/>
      <c r="AO121" s="5"/>
      <c r="AP121" s="5"/>
      <c r="AQ121" s="10">
        <f t="shared" si="11"/>
        <v>0</v>
      </c>
      <c r="AR121" s="5"/>
      <c r="AS121" s="3">
        <f t="shared" si="12"/>
        <v>0</v>
      </c>
      <c r="AT121" s="28"/>
      <c r="AU121" s="5"/>
      <c r="AV121" s="5"/>
      <c r="CE121" s="2"/>
      <c r="CF121" s="19"/>
      <c r="CG121" s="2">
        <f t="shared" si="7"/>
        <v>0</v>
      </c>
      <c r="CH121" s="2">
        <f t="shared" si="8"/>
        <v>0</v>
      </c>
      <c r="CI121" s="2"/>
      <c r="CJ121" s="20">
        <f t="shared" si="13"/>
        <v>0</v>
      </c>
    </row>
    <row r="122" spans="1:88" x14ac:dyDescent="0.25">
      <c r="A122" s="5"/>
      <c r="B122" s="5"/>
      <c r="C122" s="5"/>
      <c r="D122" s="5"/>
      <c r="E122" s="10">
        <f t="shared" si="9"/>
        <v>0</v>
      </c>
      <c r="F122" s="5"/>
      <c r="G122" s="3">
        <f t="shared" si="10"/>
        <v>0</v>
      </c>
      <c r="H122" s="25"/>
      <c r="I122" s="5"/>
      <c r="J122" s="5"/>
      <c r="AM122" s="9"/>
      <c r="AN122" s="5"/>
      <c r="AO122" s="5"/>
      <c r="AP122" s="5"/>
      <c r="AQ122" s="10">
        <f t="shared" si="11"/>
        <v>0</v>
      </c>
      <c r="AR122" s="5"/>
      <c r="AS122" s="3">
        <f t="shared" si="12"/>
        <v>0</v>
      </c>
      <c r="AT122" s="28"/>
      <c r="AU122" s="5"/>
      <c r="AV122" s="5"/>
      <c r="CE122" s="2"/>
      <c r="CF122" s="19"/>
      <c r="CG122" s="2">
        <f t="shared" si="7"/>
        <v>0</v>
      </c>
      <c r="CH122" s="2">
        <f t="shared" si="8"/>
        <v>0</v>
      </c>
      <c r="CI122" s="2"/>
      <c r="CJ122" s="20">
        <f t="shared" si="13"/>
        <v>0</v>
      </c>
    </row>
    <row r="123" spans="1:88" x14ac:dyDescent="0.25">
      <c r="A123" s="5"/>
      <c r="B123" s="5"/>
      <c r="C123" s="5"/>
      <c r="D123" s="5"/>
      <c r="E123" s="10">
        <f t="shared" si="9"/>
        <v>0</v>
      </c>
      <c r="F123" s="5"/>
      <c r="G123" s="3">
        <f t="shared" si="10"/>
        <v>0</v>
      </c>
      <c r="H123" s="25"/>
      <c r="I123" s="5"/>
      <c r="J123" s="5"/>
      <c r="AM123" s="9"/>
      <c r="AN123" s="5"/>
      <c r="AO123" s="5"/>
      <c r="AP123" s="5"/>
      <c r="AQ123" s="10">
        <f t="shared" si="11"/>
        <v>0</v>
      </c>
      <c r="AR123" s="5"/>
      <c r="AS123" s="3">
        <f t="shared" si="12"/>
        <v>0</v>
      </c>
      <c r="AT123" s="28"/>
      <c r="AU123" s="5"/>
      <c r="AV123" s="5"/>
      <c r="CE123" s="2"/>
      <c r="CF123" s="19"/>
      <c r="CG123" s="2">
        <f t="shared" si="7"/>
        <v>0</v>
      </c>
      <c r="CH123" s="2">
        <f t="shared" si="8"/>
        <v>0</v>
      </c>
      <c r="CI123" s="2"/>
      <c r="CJ123" s="20">
        <f t="shared" si="13"/>
        <v>0</v>
      </c>
    </row>
    <row r="124" spans="1:88" x14ac:dyDescent="0.25">
      <c r="A124" s="5"/>
      <c r="B124" s="5"/>
      <c r="C124" s="5"/>
      <c r="D124" s="5"/>
      <c r="E124" s="10">
        <f t="shared" si="9"/>
        <v>0</v>
      </c>
      <c r="F124" s="5"/>
      <c r="G124" s="3">
        <f t="shared" si="10"/>
        <v>0</v>
      </c>
      <c r="H124" s="25"/>
      <c r="I124" s="5"/>
      <c r="J124" s="5"/>
      <c r="AM124" s="9"/>
      <c r="AN124" s="5"/>
      <c r="AO124" s="5"/>
      <c r="AP124" s="5"/>
      <c r="AQ124" s="10">
        <f t="shared" si="11"/>
        <v>0</v>
      </c>
      <c r="AR124" s="5"/>
      <c r="AS124" s="3">
        <f t="shared" si="12"/>
        <v>0</v>
      </c>
      <c r="AT124" s="28"/>
      <c r="AU124" s="5"/>
      <c r="AV124" s="5"/>
      <c r="CE124" s="2"/>
      <c r="CF124" s="19"/>
      <c r="CG124" s="2">
        <f t="shared" si="7"/>
        <v>0</v>
      </c>
      <c r="CH124" s="2">
        <f t="shared" si="8"/>
        <v>0</v>
      </c>
      <c r="CI124" s="2"/>
      <c r="CJ124" s="20">
        <f t="shared" si="13"/>
        <v>0</v>
      </c>
    </row>
    <row r="125" spans="1:88" x14ac:dyDescent="0.25">
      <c r="A125" s="5"/>
      <c r="B125" s="5"/>
      <c r="C125" s="5"/>
      <c r="D125" s="5"/>
      <c r="E125" s="10">
        <f t="shared" si="9"/>
        <v>0</v>
      </c>
      <c r="F125" s="5"/>
      <c r="G125" s="3">
        <f t="shared" si="10"/>
        <v>0</v>
      </c>
      <c r="H125" s="25"/>
      <c r="I125" s="5"/>
      <c r="J125" s="5"/>
      <c r="AM125" s="9"/>
      <c r="AN125" s="5"/>
      <c r="AO125" s="5"/>
      <c r="AP125" s="5"/>
      <c r="AQ125" s="10">
        <f t="shared" si="11"/>
        <v>0</v>
      </c>
      <c r="AR125" s="5"/>
      <c r="AS125" s="3">
        <f t="shared" si="12"/>
        <v>0</v>
      </c>
      <c r="AT125" s="28"/>
      <c r="AU125" s="5"/>
      <c r="AV125" s="5"/>
      <c r="CE125" s="2"/>
      <c r="CF125" s="19"/>
      <c r="CG125" s="2">
        <f t="shared" si="7"/>
        <v>0</v>
      </c>
      <c r="CH125" s="2">
        <f t="shared" si="8"/>
        <v>0</v>
      </c>
      <c r="CI125" s="2"/>
      <c r="CJ125" s="20">
        <f t="shared" si="13"/>
        <v>0</v>
      </c>
    </row>
    <row r="126" spans="1:88" x14ac:dyDescent="0.25">
      <c r="A126" s="5"/>
      <c r="B126" s="5"/>
      <c r="C126" s="5"/>
      <c r="D126" s="5"/>
      <c r="E126" s="10">
        <f t="shared" si="9"/>
        <v>0</v>
      </c>
      <c r="F126" s="5"/>
      <c r="G126" s="3">
        <f t="shared" si="10"/>
        <v>0</v>
      </c>
      <c r="H126" s="25"/>
      <c r="I126" s="5"/>
      <c r="J126" s="5"/>
      <c r="AM126" s="9"/>
      <c r="AN126" s="5"/>
      <c r="AO126" s="5"/>
      <c r="AP126" s="5"/>
      <c r="AQ126" s="10">
        <f t="shared" si="11"/>
        <v>0</v>
      </c>
      <c r="AR126" s="5"/>
      <c r="AS126" s="3">
        <f t="shared" si="12"/>
        <v>0</v>
      </c>
      <c r="AT126" s="28"/>
      <c r="AU126" s="5"/>
      <c r="AV126" s="5"/>
      <c r="CE126" s="2"/>
      <c r="CF126" s="19"/>
      <c r="CG126" s="2">
        <f t="shared" si="7"/>
        <v>0</v>
      </c>
      <c r="CH126" s="2">
        <f t="shared" si="8"/>
        <v>0</v>
      </c>
      <c r="CI126" s="2"/>
      <c r="CJ126" s="20">
        <f t="shared" si="13"/>
        <v>0</v>
      </c>
    </row>
    <row r="127" spans="1:88" x14ac:dyDescent="0.25">
      <c r="A127" s="5"/>
      <c r="B127" s="5"/>
      <c r="C127" s="5"/>
      <c r="D127" s="5"/>
      <c r="E127" s="10">
        <f t="shared" si="9"/>
        <v>0</v>
      </c>
      <c r="F127" s="5"/>
      <c r="G127" s="3">
        <f t="shared" si="10"/>
        <v>0</v>
      </c>
      <c r="H127" s="25"/>
      <c r="I127" s="5"/>
      <c r="J127" s="5"/>
      <c r="AM127" s="9"/>
      <c r="AN127" s="5"/>
      <c r="AO127" s="5"/>
      <c r="AP127" s="5"/>
      <c r="AQ127" s="10">
        <f t="shared" si="11"/>
        <v>0</v>
      </c>
      <c r="AR127" s="5"/>
      <c r="AS127" s="3">
        <f t="shared" si="12"/>
        <v>0</v>
      </c>
      <c r="AT127" s="28"/>
      <c r="AU127" s="5"/>
      <c r="AV127" s="5"/>
      <c r="CE127" s="2"/>
      <c r="CF127" s="19"/>
      <c r="CG127" s="2">
        <f t="shared" si="7"/>
        <v>0</v>
      </c>
      <c r="CH127" s="2">
        <f t="shared" si="8"/>
        <v>0</v>
      </c>
      <c r="CI127" s="2"/>
      <c r="CJ127" s="20">
        <f t="shared" si="13"/>
        <v>0</v>
      </c>
    </row>
    <row r="128" spans="1:88" x14ac:dyDescent="0.25">
      <c r="A128" s="5"/>
      <c r="B128" s="5"/>
      <c r="C128" s="5"/>
      <c r="D128" s="5"/>
      <c r="E128" s="10">
        <f t="shared" si="9"/>
        <v>0</v>
      </c>
      <c r="F128" s="5"/>
      <c r="G128" s="3">
        <f t="shared" si="10"/>
        <v>0</v>
      </c>
      <c r="H128" s="25"/>
      <c r="I128" s="5"/>
      <c r="J128" s="5"/>
      <c r="AM128" s="9"/>
      <c r="AN128" s="5"/>
      <c r="AO128" s="5"/>
      <c r="AP128" s="5"/>
      <c r="AQ128" s="10">
        <f t="shared" si="11"/>
        <v>0</v>
      </c>
      <c r="AR128" s="5"/>
      <c r="AS128" s="3">
        <f t="shared" si="12"/>
        <v>0</v>
      </c>
      <c r="AT128" s="28"/>
      <c r="AU128" s="5"/>
      <c r="AV128" s="5"/>
      <c r="CE128" s="2"/>
      <c r="CF128" s="19"/>
      <c r="CG128" s="2">
        <f t="shared" si="7"/>
        <v>0</v>
      </c>
      <c r="CH128" s="2">
        <f t="shared" si="8"/>
        <v>0</v>
      </c>
      <c r="CI128" s="2"/>
      <c r="CJ128" s="20">
        <f t="shared" si="13"/>
        <v>0</v>
      </c>
    </row>
    <row r="129" spans="1:88" x14ac:dyDescent="0.25">
      <c r="A129" s="5"/>
      <c r="B129" s="5"/>
      <c r="C129" s="5"/>
      <c r="D129" s="5"/>
      <c r="E129" s="10">
        <f t="shared" si="9"/>
        <v>0</v>
      </c>
      <c r="F129" s="5"/>
      <c r="G129" s="3">
        <f t="shared" si="10"/>
        <v>0</v>
      </c>
      <c r="H129" s="25"/>
      <c r="I129" s="5"/>
      <c r="J129" s="5"/>
      <c r="AM129" s="9"/>
      <c r="AN129" s="5"/>
      <c r="AO129" s="5"/>
      <c r="AP129" s="5"/>
      <c r="AQ129" s="10">
        <f t="shared" si="11"/>
        <v>0</v>
      </c>
      <c r="AR129" s="5"/>
      <c r="AS129" s="3">
        <f t="shared" si="12"/>
        <v>0</v>
      </c>
      <c r="AT129" s="28"/>
      <c r="AU129" s="5"/>
      <c r="AV129" s="5"/>
      <c r="CE129" s="2"/>
      <c r="CF129" s="19"/>
      <c r="CG129" s="2">
        <f t="shared" si="7"/>
        <v>0</v>
      </c>
      <c r="CH129" s="2">
        <f t="shared" si="8"/>
        <v>0</v>
      </c>
      <c r="CI129" s="2"/>
      <c r="CJ129" s="20">
        <f t="shared" si="13"/>
        <v>0</v>
      </c>
    </row>
    <row r="130" spans="1:88" x14ac:dyDescent="0.25">
      <c r="A130" s="5"/>
      <c r="B130" s="5"/>
      <c r="C130" s="5"/>
      <c r="D130" s="5"/>
      <c r="E130" s="10">
        <f t="shared" si="9"/>
        <v>0</v>
      </c>
      <c r="F130" s="5"/>
      <c r="G130" s="3">
        <f t="shared" si="10"/>
        <v>0</v>
      </c>
      <c r="H130" s="25"/>
      <c r="I130" s="5"/>
      <c r="J130" s="5"/>
      <c r="AM130" s="9"/>
      <c r="AN130" s="5"/>
      <c r="AO130" s="5"/>
      <c r="AP130" s="5"/>
      <c r="AQ130" s="10">
        <f t="shared" si="11"/>
        <v>0</v>
      </c>
      <c r="AR130" s="5"/>
      <c r="AS130" s="3">
        <f t="shared" si="12"/>
        <v>0</v>
      </c>
      <c r="AT130" s="28"/>
      <c r="AU130" s="5"/>
      <c r="AV130" s="5"/>
      <c r="CE130" s="2"/>
      <c r="CF130" s="19"/>
      <c r="CG130" s="2">
        <f t="shared" si="7"/>
        <v>0</v>
      </c>
      <c r="CH130" s="2">
        <f t="shared" si="8"/>
        <v>0</v>
      </c>
      <c r="CI130" s="2"/>
      <c r="CJ130" s="20">
        <f t="shared" si="13"/>
        <v>0</v>
      </c>
    </row>
    <row r="131" spans="1:88" x14ac:dyDescent="0.25">
      <c r="A131" s="5"/>
      <c r="B131" s="5"/>
      <c r="C131" s="5"/>
      <c r="D131" s="5"/>
      <c r="E131" s="10">
        <f t="shared" si="9"/>
        <v>0</v>
      </c>
      <c r="F131" s="5"/>
      <c r="G131" s="3">
        <f t="shared" si="10"/>
        <v>0</v>
      </c>
      <c r="H131" s="25"/>
      <c r="I131" s="5"/>
      <c r="J131" s="5"/>
      <c r="AM131" s="9"/>
      <c r="AN131" s="5"/>
      <c r="AO131" s="5"/>
      <c r="AP131" s="5"/>
      <c r="AQ131" s="10">
        <f t="shared" si="11"/>
        <v>0</v>
      </c>
      <c r="AR131" s="5"/>
      <c r="AS131" s="3">
        <f t="shared" si="12"/>
        <v>0</v>
      </c>
      <c r="AT131" s="28"/>
      <c r="AU131" s="5"/>
      <c r="AV131" s="5"/>
      <c r="CE131" s="2"/>
      <c r="CF131" s="19"/>
      <c r="CG131" s="2">
        <f t="shared" si="7"/>
        <v>0</v>
      </c>
      <c r="CH131" s="2">
        <f t="shared" si="8"/>
        <v>0</v>
      </c>
      <c r="CI131" s="2"/>
      <c r="CJ131" s="20">
        <f t="shared" si="13"/>
        <v>0</v>
      </c>
    </row>
    <row r="132" spans="1:88" x14ac:dyDescent="0.25">
      <c r="A132" s="5"/>
      <c r="B132" s="5"/>
      <c r="C132" s="5"/>
      <c r="D132" s="5"/>
      <c r="E132" s="10">
        <f t="shared" si="9"/>
        <v>0</v>
      </c>
      <c r="F132" s="5"/>
      <c r="G132" s="3">
        <f t="shared" si="10"/>
        <v>0</v>
      </c>
      <c r="H132" s="25"/>
      <c r="I132" s="5"/>
      <c r="J132" s="5"/>
      <c r="AM132" s="9"/>
      <c r="AN132" s="5"/>
      <c r="AO132" s="5"/>
      <c r="AP132" s="5"/>
      <c r="AQ132" s="10">
        <f t="shared" si="11"/>
        <v>0</v>
      </c>
      <c r="AR132" s="5"/>
      <c r="AS132" s="3">
        <f t="shared" si="12"/>
        <v>0</v>
      </c>
      <c r="AT132" s="28"/>
      <c r="AU132" s="5"/>
      <c r="AV132" s="5"/>
      <c r="CE132" s="2"/>
      <c r="CF132" s="19"/>
      <c r="CG132" s="2">
        <f t="shared" si="7"/>
        <v>0</v>
      </c>
      <c r="CH132" s="2">
        <f t="shared" si="8"/>
        <v>0</v>
      </c>
      <c r="CI132" s="2"/>
      <c r="CJ132" s="20">
        <f t="shared" si="13"/>
        <v>0</v>
      </c>
    </row>
    <row r="133" spans="1:88" x14ac:dyDescent="0.25">
      <c r="A133" s="5"/>
      <c r="B133" s="5"/>
      <c r="C133" s="5"/>
      <c r="D133" s="5"/>
      <c r="E133" s="10">
        <f t="shared" si="9"/>
        <v>0</v>
      </c>
      <c r="F133" s="5"/>
      <c r="G133" s="3">
        <f t="shared" si="10"/>
        <v>0</v>
      </c>
      <c r="H133" s="25"/>
      <c r="I133" s="5"/>
      <c r="J133" s="5"/>
      <c r="AM133" s="9"/>
      <c r="AN133" s="5"/>
      <c r="AO133" s="5"/>
      <c r="AP133" s="5"/>
      <c r="AQ133" s="10">
        <f t="shared" si="11"/>
        <v>0</v>
      </c>
      <c r="AR133" s="5"/>
      <c r="AS133" s="3">
        <f t="shared" si="12"/>
        <v>0</v>
      </c>
      <c r="AT133" s="28"/>
      <c r="AU133" s="5"/>
      <c r="AV133" s="5"/>
      <c r="CE133" s="2"/>
      <c r="CF133" s="19"/>
      <c r="CG133" s="2">
        <f t="shared" ref="CG133:CG196" si="14">1/2*$CB$5*($CC$5)^2*$CD$5*CE133</f>
        <v>0</v>
      </c>
      <c r="CH133" s="2">
        <f t="shared" ref="CH133:CH196" si="15">1/2*$CB$5*($CC$5)^2*$CD$5*CF133</f>
        <v>0</v>
      </c>
      <c r="CI133" s="2"/>
      <c r="CJ133" s="20">
        <f t="shared" si="13"/>
        <v>0</v>
      </c>
    </row>
    <row r="134" spans="1:88" x14ac:dyDescent="0.25">
      <c r="A134" s="5"/>
      <c r="B134" s="5"/>
      <c r="C134" s="5"/>
      <c r="D134" s="5"/>
      <c r="E134" s="10">
        <f t="shared" ref="E134:E197" si="16">-(C134/$C$6)</f>
        <v>0</v>
      </c>
      <c r="F134" s="5"/>
      <c r="G134" s="3">
        <f t="shared" ref="G134:G197" si="17">1/2*$CB$5*($CC$5)^2*$CD$5*A134</f>
        <v>0</v>
      </c>
      <c r="H134" s="25"/>
      <c r="I134" s="5"/>
      <c r="J134" s="5"/>
      <c r="AM134" s="9"/>
      <c r="AN134" s="5"/>
      <c r="AO134" s="5"/>
      <c r="AP134" s="5"/>
      <c r="AQ134" s="10">
        <f t="shared" ref="AQ134:AQ197" si="18">-(AO134/$C$6)</f>
        <v>0</v>
      </c>
      <c r="AR134" s="5"/>
      <c r="AS134" s="3">
        <f t="shared" ref="AS134:AS197" si="19">1/2*$CB$5*($CC$5)^2*$CD$5*AM134</f>
        <v>0</v>
      </c>
      <c r="AT134" s="28"/>
      <c r="AU134" s="5"/>
      <c r="AV134" s="5"/>
      <c r="CE134" s="2"/>
      <c r="CF134" s="19"/>
      <c r="CG134" s="2">
        <f t="shared" si="14"/>
        <v>0</v>
      </c>
      <c r="CH134" s="2">
        <f t="shared" si="15"/>
        <v>0</v>
      </c>
      <c r="CI134" s="2"/>
      <c r="CJ134" s="20">
        <f t="shared" ref="CJ134:CJ197" si="20">-(CI134/$CI$5)</f>
        <v>0</v>
      </c>
    </row>
    <row r="135" spans="1:88" x14ac:dyDescent="0.25">
      <c r="A135" s="5"/>
      <c r="B135" s="5"/>
      <c r="C135" s="5"/>
      <c r="D135" s="5"/>
      <c r="E135" s="10">
        <f t="shared" si="16"/>
        <v>0</v>
      </c>
      <c r="F135" s="5"/>
      <c r="G135" s="3">
        <f t="shared" si="17"/>
        <v>0</v>
      </c>
      <c r="H135" s="25"/>
      <c r="I135" s="5"/>
      <c r="J135" s="5"/>
      <c r="AM135" s="9"/>
      <c r="AN135" s="5"/>
      <c r="AO135" s="5"/>
      <c r="AP135" s="5"/>
      <c r="AQ135" s="10">
        <f t="shared" si="18"/>
        <v>0</v>
      </c>
      <c r="AR135" s="5"/>
      <c r="AS135" s="3">
        <f t="shared" si="19"/>
        <v>0</v>
      </c>
      <c r="AT135" s="28"/>
      <c r="AU135" s="5"/>
      <c r="AV135" s="5"/>
      <c r="CE135" s="2"/>
      <c r="CF135" s="19"/>
      <c r="CG135" s="2">
        <f t="shared" si="14"/>
        <v>0</v>
      </c>
      <c r="CH135" s="2">
        <f t="shared" si="15"/>
        <v>0</v>
      </c>
      <c r="CI135" s="2"/>
      <c r="CJ135" s="20">
        <f t="shared" si="20"/>
        <v>0</v>
      </c>
    </row>
    <row r="136" spans="1:88" x14ac:dyDescent="0.25">
      <c r="A136" s="5"/>
      <c r="B136" s="5"/>
      <c r="C136" s="5"/>
      <c r="D136" s="5"/>
      <c r="E136" s="10">
        <f t="shared" si="16"/>
        <v>0</v>
      </c>
      <c r="F136" s="5"/>
      <c r="G136" s="3">
        <f t="shared" si="17"/>
        <v>0</v>
      </c>
      <c r="H136" s="25"/>
      <c r="I136" s="5"/>
      <c r="J136" s="5"/>
      <c r="AM136" s="9"/>
      <c r="AN136" s="5"/>
      <c r="AO136" s="5"/>
      <c r="AP136" s="5"/>
      <c r="AQ136" s="10">
        <f t="shared" si="18"/>
        <v>0</v>
      </c>
      <c r="AR136" s="5"/>
      <c r="AS136" s="3">
        <f t="shared" si="19"/>
        <v>0</v>
      </c>
      <c r="AT136" s="28"/>
      <c r="AU136" s="5"/>
      <c r="AV136" s="5"/>
      <c r="CE136" s="2"/>
      <c r="CF136" s="19"/>
      <c r="CG136" s="2">
        <f t="shared" si="14"/>
        <v>0</v>
      </c>
      <c r="CH136" s="2">
        <f t="shared" si="15"/>
        <v>0</v>
      </c>
      <c r="CI136" s="2"/>
      <c r="CJ136" s="20">
        <f t="shared" si="20"/>
        <v>0</v>
      </c>
    </row>
    <row r="137" spans="1:88" x14ac:dyDescent="0.25">
      <c r="A137" s="5"/>
      <c r="B137" s="5"/>
      <c r="C137" s="5"/>
      <c r="D137" s="5"/>
      <c r="E137" s="10">
        <f t="shared" si="16"/>
        <v>0</v>
      </c>
      <c r="F137" s="5"/>
      <c r="G137" s="3">
        <f t="shared" si="17"/>
        <v>0</v>
      </c>
      <c r="H137" s="25"/>
      <c r="I137" s="5"/>
      <c r="J137" s="5"/>
      <c r="AM137" s="9"/>
      <c r="AN137" s="5"/>
      <c r="AO137" s="5"/>
      <c r="AP137" s="5"/>
      <c r="AQ137" s="10">
        <f t="shared" si="18"/>
        <v>0</v>
      </c>
      <c r="AR137" s="5"/>
      <c r="AS137" s="3">
        <f t="shared" si="19"/>
        <v>0</v>
      </c>
      <c r="AT137" s="28"/>
      <c r="AU137" s="5"/>
      <c r="AV137" s="5"/>
      <c r="CE137" s="2"/>
      <c r="CF137" s="19"/>
      <c r="CG137" s="2">
        <f t="shared" si="14"/>
        <v>0</v>
      </c>
      <c r="CH137" s="2">
        <f t="shared" si="15"/>
        <v>0</v>
      </c>
      <c r="CI137" s="2"/>
      <c r="CJ137" s="20">
        <f t="shared" si="20"/>
        <v>0</v>
      </c>
    </row>
    <row r="138" spans="1:88" x14ac:dyDescent="0.25">
      <c r="A138" s="5"/>
      <c r="B138" s="5"/>
      <c r="C138" s="5"/>
      <c r="D138" s="5"/>
      <c r="E138" s="10">
        <f t="shared" si="16"/>
        <v>0</v>
      </c>
      <c r="F138" s="5"/>
      <c r="G138" s="3">
        <f t="shared" si="17"/>
        <v>0</v>
      </c>
      <c r="H138" s="25"/>
      <c r="I138" s="5"/>
      <c r="J138" s="5"/>
      <c r="AM138" s="9"/>
      <c r="AN138" s="5"/>
      <c r="AO138" s="5"/>
      <c r="AP138" s="5"/>
      <c r="AQ138" s="10">
        <f t="shared" si="18"/>
        <v>0</v>
      </c>
      <c r="AR138" s="5"/>
      <c r="AS138" s="3">
        <f t="shared" si="19"/>
        <v>0</v>
      </c>
      <c r="AT138" s="28"/>
      <c r="AU138" s="5"/>
      <c r="AV138" s="5"/>
      <c r="CE138" s="2"/>
      <c r="CF138" s="19"/>
      <c r="CG138" s="2">
        <f t="shared" si="14"/>
        <v>0</v>
      </c>
      <c r="CH138" s="2">
        <f t="shared" si="15"/>
        <v>0</v>
      </c>
      <c r="CI138" s="2"/>
      <c r="CJ138" s="20">
        <f t="shared" si="20"/>
        <v>0</v>
      </c>
    </row>
    <row r="139" spans="1:88" x14ac:dyDescent="0.25">
      <c r="A139" s="5"/>
      <c r="B139" s="5"/>
      <c r="C139" s="5"/>
      <c r="D139" s="5"/>
      <c r="E139" s="10">
        <f t="shared" si="16"/>
        <v>0</v>
      </c>
      <c r="F139" s="5"/>
      <c r="G139" s="3">
        <f t="shared" si="17"/>
        <v>0</v>
      </c>
      <c r="H139" s="25"/>
      <c r="I139" s="5"/>
      <c r="J139" s="5"/>
      <c r="AM139" s="9"/>
      <c r="AN139" s="5"/>
      <c r="AO139" s="5"/>
      <c r="AP139" s="5"/>
      <c r="AQ139" s="10">
        <f t="shared" si="18"/>
        <v>0</v>
      </c>
      <c r="AR139" s="5"/>
      <c r="AS139" s="3">
        <f t="shared" si="19"/>
        <v>0</v>
      </c>
      <c r="AT139" s="28"/>
      <c r="AU139" s="5"/>
      <c r="AV139" s="5"/>
      <c r="CE139" s="2"/>
      <c r="CF139" s="19"/>
      <c r="CG139" s="2">
        <f t="shared" si="14"/>
        <v>0</v>
      </c>
      <c r="CH139" s="2">
        <f t="shared" si="15"/>
        <v>0</v>
      </c>
      <c r="CI139" s="2"/>
      <c r="CJ139" s="20">
        <f t="shared" si="20"/>
        <v>0</v>
      </c>
    </row>
    <row r="140" spans="1:88" x14ac:dyDescent="0.25">
      <c r="A140" s="5"/>
      <c r="B140" s="5"/>
      <c r="C140" s="5"/>
      <c r="D140" s="5"/>
      <c r="E140" s="10">
        <f t="shared" si="16"/>
        <v>0</v>
      </c>
      <c r="F140" s="5"/>
      <c r="G140" s="3">
        <f t="shared" si="17"/>
        <v>0</v>
      </c>
      <c r="H140" s="25"/>
      <c r="I140" s="5"/>
      <c r="J140" s="5"/>
      <c r="AM140" s="9"/>
      <c r="AN140" s="5"/>
      <c r="AO140" s="5"/>
      <c r="AP140" s="5"/>
      <c r="AQ140" s="10">
        <f t="shared" si="18"/>
        <v>0</v>
      </c>
      <c r="AR140" s="5"/>
      <c r="AS140" s="3">
        <f t="shared" si="19"/>
        <v>0</v>
      </c>
      <c r="AT140" s="28"/>
      <c r="AU140" s="5"/>
      <c r="AV140" s="5"/>
      <c r="CE140" s="2"/>
      <c r="CF140" s="19"/>
      <c r="CG140" s="2">
        <f t="shared" si="14"/>
        <v>0</v>
      </c>
      <c r="CH140" s="2">
        <f t="shared" si="15"/>
        <v>0</v>
      </c>
      <c r="CI140" s="2"/>
      <c r="CJ140" s="20">
        <f t="shared" si="20"/>
        <v>0</v>
      </c>
    </row>
    <row r="141" spans="1:88" x14ac:dyDescent="0.25">
      <c r="A141" s="5"/>
      <c r="B141" s="5"/>
      <c r="C141" s="5"/>
      <c r="D141" s="5"/>
      <c r="E141" s="10">
        <f t="shared" si="16"/>
        <v>0</v>
      </c>
      <c r="F141" s="5"/>
      <c r="G141" s="3">
        <f t="shared" si="17"/>
        <v>0</v>
      </c>
      <c r="H141" s="25"/>
      <c r="I141" s="5"/>
      <c r="J141" s="5"/>
      <c r="AM141" s="9"/>
      <c r="AN141" s="5"/>
      <c r="AO141" s="5"/>
      <c r="AP141" s="5"/>
      <c r="AQ141" s="10">
        <f t="shared" si="18"/>
        <v>0</v>
      </c>
      <c r="AR141" s="5"/>
      <c r="AS141" s="3">
        <f t="shared" si="19"/>
        <v>0</v>
      </c>
      <c r="AT141" s="28"/>
      <c r="AU141" s="5"/>
      <c r="AV141" s="5"/>
      <c r="CE141" s="2"/>
      <c r="CF141" s="19"/>
      <c r="CG141" s="2">
        <f t="shared" si="14"/>
        <v>0</v>
      </c>
      <c r="CH141" s="2">
        <f t="shared" si="15"/>
        <v>0</v>
      </c>
      <c r="CI141" s="2"/>
      <c r="CJ141" s="20">
        <f t="shared" si="20"/>
        <v>0</v>
      </c>
    </row>
    <row r="142" spans="1:88" x14ac:dyDescent="0.25">
      <c r="A142" s="5"/>
      <c r="B142" s="5"/>
      <c r="C142" s="5"/>
      <c r="D142" s="5"/>
      <c r="E142" s="10">
        <f t="shared" si="16"/>
        <v>0</v>
      </c>
      <c r="F142" s="5"/>
      <c r="G142" s="3">
        <f t="shared" si="17"/>
        <v>0</v>
      </c>
      <c r="H142" s="25"/>
      <c r="I142" s="5"/>
      <c r="J142" s="5"/>
      <c r="AM142" s="9"/>
      <c r="AN142" s="5"/>
      <c r="AO142" s="5"/>
      <c r="AP142" s="5"/>
      <c r="AQ142" s="10">
        <f t="shared" si="18"/>
        <v>0</v>
      </c>
      <c r="AR142" s="5"/>
      <c r="AS142" s="3">
        <f t="shared" si="19"/>
        <v>0</v>
      </c>
      <c r="AT142" s="28"/>
      <c r="AU142" s="5"/>
      <c r="AV142" s="5"/>
      <c r="CE142" s="2"/>
      <c r="CF142" s="19"/>
      <c r="CG142" s="2">
        <f t="shared" si="14"/>
        <v>0</v>
      </c>
      <c r="CH142" s="2">
        <f t="shared" si="15"/>
        <v>0</v>
      </c>
      <c r="CI142" s="2"/>
      <c r="CJ142" s="20">
        <f t="shared" si="20"/>
        <v>0</v>
      </c>
    </row>
    <row r="143" spans="1:88" x14ac:dyDescent="0.25">
      <c r="A143" s="5"/>
      <c r="B143" s="5"/>
      <c r="C143" s="5"/>
      <c r="D143" s="5"/>
      <c r="E143" s="10">
        <f t="shared" si="16"/>
        <v>0</v>
      </c>
      <c r="F143" s="5"/>
      <c r="G143" s="3">
        <f t="shared" si="17"/>
        <v>0</v>
      </c>
      <c r="H143" s="25"/>
      <c r="I143" s="5"/>
      <c r="J143" s="5"/>
      <c r="AM143" s="9"/>
      <c r="AN143" s="5"/>
      <c r="AO143" s="5"/>
      <c r="AP143" s="5"/>
      <c r="AQ143" s="10">
        <f t="shared" si="18"/>
        <v>0</v>
      </c>
      <c r="AR143" s="5"/>
      <c r="AS143" s="3">
        <f t="shared" si="19"/>
        <v>0</v>
      </c>
      <c r="AT143" s="28"/>
      <c r="AU143" s="5"/>
      <c r="AV143" s="5"/>
      <c r="CE143" s="2"/>
      <c r="CF143" s="19"/>
      <c r="CG143" s="2">
        <f t="shared" si="14"/>
        <v>0</v>
      </c>
      <c r="CH143" s="2">
        <f t="shared" si="15"/>
        <v>0</v>
      </c>
      <c r="CI143" s="2"/>
      <c r="CJ143" s="20">
        <f t="shared" si="20"/>
        <v>0</v>
      </c>
    </row>
    <row r="144" spans="1:88" x14ac:dyDescent="0.25">
      <c r="A144" s="5"/>
      <c r="B144" s="5"/>
      <c r="C144" s="5"/>
      <c r="D144" s="5"/>
      <c r="E144" s="10">
        <f t="shared" si="16"/>
        <v>0</v>
      </c>
      <c r="F144" s="5"/>
      <c r="G144" s="3">
        <f t="shared" si="17"/>
        <v>0</v>
      </c>
      <c r="H144" s="25"/>
      <c r="I144" s="5"/>
      <c r="J144" s="5"/>
      <c r="AM144" s="9"/>
      <c r="AN144" s="5"/>
      <c r="AO144" s="5"/>
      <c r="AP144" s="5"/>
      <c r="AQ144" s="10">
        <f t="shared" si="18"/>
        <v>0</v>
      </c>
      <c r="AR144" s="5"/>
      <c r="AS144" s="3">
        <f t="shared" si="19"/>
        <v>0</v>
      </c>
      <c r="AT144" s="28"/>
      <c r="AU144" s="5"/>
      <c r="AV144" s="5"/>
      <c r="CE144" s="2"/>
      <c r="CF144" s="19"/>
      <c r="CG144" s="2">
        <f t="shared" si="14"/>
        <v>0</v>
      </c>
      <c r="CH144" s="2">
        <f t="shared" si="15"/>
        <v>0</v>
      </c>
      <c r="CI144" s="2"/>
      <c r="CJ144" s="20">
        <f t="shared" si="20"/>
        <v>0</v>
      </c>
    </row>
    <row r="145" spans="1:88" x14ac:dyDescent="0.25">
      <c r="A145" s="5"/>
      <c r="B145" s="5"/>
      <c r="C145" s="5"/>
      <c r="D145" s="5"/>
      <c r="E145" s="10">
        <f t="shared" si="16"/>
        <v>0</v>
      </c>
      <c r="F145" s="5"/>
      <c r="G145" s="3">
        <f t="shared" si="17"/>
        <v>0</v>
      </c>
      <c r="H145" s="25"/>
      <c r="I145" s="5"/>
      <c r="J145" s="5"/>
      <c r="AM145" s="9"/>
      <c r="AN145" s="5"/>
      <c r="AO145" s="5"/>
      <c r="AP145" s="5"/>
      <c r="AQ145" s="10">
        <f t="shared" si="18"/>
        <v>0</v>
      </c>
      <c r="AR145" s="5"/>
      <c r="AS145" s="3">
        <f t="shared" si="19"/>
        <v>0</v>
      </c>
      <c r="AT145" s="28"/>
      <c r="AU145" s="5"/>
      <c r="AV145" s="5"/>
      <c r="CE145" s="2"/>
      <c r="CF145" s="19"/>
      <c r="CG145" s="2">
        <f t="shared" si="14"/>
        <v>0</v>
      </c>
      <c r="CH145" s="2">
        <f t="shared" si="15"/>
        <v>0</v>
      </c>
      <c r="CI145" s="2"/>
      <c r="CJ145" s="20">
        <f t="shared" si="20"/>
        <v>0</v>
      </c>
    </row>
    <row r="146" spans="1:88" x14ac:dyDescent="0.25">
      <c r="A146" s="5"/>
      <c r="B146" s="5"/>
      <c r="C146" s="5"/>
      <c r="D146" s="5"/>
      <c r="E146" s="10">
        <f t="shared" si="16"/>
        <v>0</v>
      </c>
      <c r="F146" s="5"/>
      <c r="G146" s="3">
        <f t="shared" si="17"/>
        <v>0</v>
      </c>
      <c r="H146" s="25"/>
      <c r="I146" s="5"/>
      <c r="J146" s="5"/>
      <c r="AM146" s="9"/>
      <c r="AN146" s="5"/>
      <c r="AO146" s="5"/>
      <c r="AP146" s="5"/>
      <c r="AQ146" s="10">
        <f t="shared" si="18"/>
        <v>0</v>
      </c>
      <c r="AR146" s="5"/>
      <c r="AS146" s="3">
        <f t="shared" si="19"/>
        <v>0</v>
      </c>
      <c r="AT146" s="28"/>
      <c r="AU146" s="5"/>
      <c r="AV146" s="5"/>
      <c r="CE146" s="2"/>
      <c r="CF146" s="19"/>
      <c r="CG146" s="2">
        <f t="shared" si="14"/>
        <v>0</v>
      </c>
      <c r="CH146" s="2">
        <f t="shared" si="15"/>
        <v>0</v>
      </c>
      <c r="CI146" s="2"/>
      <c r="CJ146" s="20">
        <f t="shared" si="20"/>
        <v>0</v>
      </c>
    </row>
    <row r="147" spans="1:88" x14ac:dyDescent="0.25">
      <c r="A147" s="5"/>
      <c r="B147" s="5"/>
      <c r="C147" s="5"/>
      <c r="D147" s="5"/>
      <c r="E147" s="10">
        <f t="shared" si="16"/>
        <v>0</v>
      </c>
      <c r="F147" s="5"/>
      <c r="G147" s="3">
        <f t="shared" si="17"/>
        <v>0</v>
      </c>
      <c r="H147" s="25"/>
      <c r="I147" s="5"/>
      <c r="J147" s="5"/>
      <c r="AM147" s="9"/>
      <c r="AN147" s="5"/>
      <c r="AO147" s="5"/>
      <c r="AP147" s="5"/>
      <c r="AQ147" s="10">
        <f t="shared" si="18"/>
        <v>0</v>
      </c>
      <c r="AR147" s="5"/>
      <c r="AS147" s="3">
        <f t="shared" si="19"/>
        <v>0</v>
      </c>
      <c r="AT147" s="28"/>
      <c r="AU147" s="5"/>
      <c r="AV147" s="5"/>
      <c r="CE147" s="2"/>
      <c r="CF147" s="19"/>
      <c r="CG147" s="2">
        <f t="shared" si="14"/>
        <v>0</v>
      </c>
      <c r="CH147" s="2">
        <f t="shared" si="15"/>
        <v>0</v>
      </c>
      <c r="CI147" s="2"/>
      <c r="CJ147" s="20">
        <f t="shared" si="20"/>
        <v>0</v>
      </c>
    </row>
    <row r="148" spans="1:88" x14ac:dyDescent="0.25">
      <c r="A148" s="5"/>
      <c r="B148" s="5"/>
      <c r="C148" s="5"/>
      <c r="D148" s="5"/>
      <c r="E148" s="10">
        <f t="shared" si="16"/>
        <v>0</v>
      </c>
      <c r="F148" s="5"/>
      <c r="G148" s="3">
        <f t="shared" si="17"/>
        <v>0</v>
      </c>
      <c r="H148" s="25"/>
      <c r="I148" s="5"/>
      <c r="J148" s="5"/>
      <c r="AM148" s="9"/>
      <c r="AN148" s="5"/>
      <c r="AO148" s="5"/>
      <c r="AP148" s="5"/>
      <c r="AQ148" s="10">
        <f t="shared" si="18"/>
        <v>0</v>
      </c>
      <c r="AR148" s="5"/>
      <c r="AS148" s="3">
        <f t="shared" si="19"/>
        <v>0</v>
      </c>
      <c r="AT148" s="28"/>
      <c r="AU148" s="5"/>
      <c r="AV148" s="5"/>
      <c r="CE148" s="2"/>
      <c r="CF148" s="19"/>
      <c r="CG148" s="2">
        <f t="shared" si="14"/>
        <v>0</v>
      </c>
      <c r="CH148" s="2">
        <f t="shared" si="15"/>
        <v>0</v>
      </c>
      <c r="CI148" s="2"/>
      <c r="CJ148" s="20">
        <f t="shared" si="20"/>
        <v>0</v>
      </c>
    </row>
    <row r="149" spans="1:88" x14ac:dyDescent="0.25">
      <c r="A149" s="5"/>
      <c r="B149" s="5"/>
      <c r="C149" s="5"/>
      <c r="D149" s="5"/>
      <c r="E149" s="10">
        <f t="shared" si="16"/>
        <v>0</v>
      </c>
      <c r="F149" s="5"/>
      <c r="G149" s="3">
        <f t="shared" si="17"/>
        <v>0</v>
      </c>
      <c r="H149" s="25"/>
      <c r="I149" s="5"/>
      <c r="J149" s="5"/>
      <c r="AM149" s="9"/>
      <c r="AN149" s="5"/>
      <c r="AO149" s="5"/>
      <c r="AP149" s="5"/>
      <c r="AQ149" s="10">
        <f t="shared" si="18"/>
        <v>0</v>
      </c>
      <c r="AR149" s="5"/>
      <c r="AS149" s="3">
        <f t="shared" si="19"/>
        <v>0</v>
      </c>
      <c r="AT149" s="28"/>
      <c r="AU149" s="5"/>
      <c r="AV149" s="5"/>
      <c r="CE149" s="2"/>
      <c r="CF149" s="19"/>
      <c r="CG149" s="2">
        <f t="shared" si="14"/>
        <v>0</v>
      </c>
      <c r="CH149" s="2">
        <f t="shared" si="15"/>
        <v>0</v>
      </c>
      <c r="CI149" s="2"/>
      <c r="CJ149" s="20">
        <f t="shared" si="20"/>
        <v>0</v>
      </c>
    </row>
    <row r="150" spans="1:88" x14ac:dyDescent="0.25">
      <c r="A150" s="5"/>
      <c r="B150" s="5"/>
      <c r="C150" s="5"/>
      <c r="D150" s="5"/>
      <c r="E150" s="10">
        <f t="shared" si="16"/>
        <v>0</v>
      </c>
      <c r="F150" s="5"/>
      <c r="G150" s="3">
        <f t="shared" si="17"/>
        <v>0</v>
      </c>
      <c r="H150" s="25"/>
      <c r="I150" s="5"/>
      <c r="J150" s="5"/>
      <c r="AM150" s="9"/>
      <c r="AN150" s="5"/>
      <c r="AO150" s="5"/>
      <c r="AP150" s="5"/>
      <c r="AQ150" s="10">
        <f t="shared" si="18"/>
        <v>0</v>
      </c>
      <c r="AR150" s="5"/>
      <c r="AS150" s="3">
        <f t="shared" si="19"/>
        <v>0</v>
      </c>
      <c r="AT150" s="28"/>
      <c r="AU150" s="5"/>
      <c r="AV150" s="5"/>
      <c r="CE150" s="2"/>
      <c r="CF150" s="19"/>
      <c r="CG150" s="2">
        <f t="shared" si="14"/>
        <v>0</v>
      </c>
      <c r="CH150" s="2">
        <f t="shared" si="15"/>
        <v>0</v>
      </c>
      <c r="CI150" s="2"/>
      <c r="CJ150" s="20">
        <f t="shared" si="20"/>
        <v>0</v>
      </c>
    </row>
    <row r="151" spans="1:88" x14ac:dyDescent="0.25">
      <c r="A151" s="5"/>
      <c r="B151" s="5"/>
      <c r="C151" s="5"/>
      <c r="D151" s="5"/>
      <c r="E151" s="10">
        <f t="shared" si="16"/>
        <v>0</v>
      </c>
      <c r="F151" s="5"/>
      <c r="G151" s="3">
        <f t="shared" si="17"/>
        <v>0</v>
      </c>
      <c r="H151" s="25"/>
      <c r="I151" s="5"/>
      <c r="J151" s="5"/>
      <c r="AM151" s="9"/>
      <c r="AN151" s="5"/>
      <c r="AO151" s="5"/>
      <c r="AP151" s="5"/>
      <c r="AQ151" s="10">
        <f t="shared" si="18"/>
        <v>0</v>
      </c>
      <c r="AR151" s="5"/>
      <c r="AS151" s="3">
        <f t="shared" si="19"/>
        <v>0</v>
      </c>
      <c r="AT151" s="28"/>
      <c r="AU151" s="5"/>
      <c r="AV151" s="5"/>
      <c r="CE151" s="2"/>
      <c r="CF151" s="19"/>
      <c r="CG151" s="2">
        <f t="shared" si="14"/>
        <v>0</v>
      </c>
      <c r="CH151" s="2">
        <f t="shared" si="15"/>
        <v>0</v>
      </c>
      <c r="CI151" s="2"/>
      <c r="CJ151" s="20">
        <f t="shared" si="20"/>
        <v>0</v>
      </c>
    </row>
    <row r="152" spans="1:88" x14ac:dyDescent="0.25">
      <c r="A152" s="5"/>
      <c r="B152" s="5"/>
      <c r="C152" s="5"/>
      <c r="D152" s="5"/>
      <c r="E152" s="10">
        <f t="shared" si="16"/>
        <v>0</v>
      </c>
      <c r="F152" s="5"/>
      <c r="G152" s="3">
        <f t="shared" si="17"/>
        <v>0</v>
      </c>
      <c r="H152" s="25"/>
      <c r="I152" s="5"/>
      <c r="J152" s="5"/>
      <c r="AM152" s="9"/>
      <c r="AN152" s="5"/>
      <c r="AO152" s="5"/>
      <c r="AP152" s="5"/>
      <c r="AQ152" s="10">
        <f t="shared" si="18"/>
        <v>0</v>
      </c>
      <c r="AR152" s="5"/>
      <c r="AS152" s="3">
        <f t="shared" si="19"/>
        <v>0</v>
      </c>
      <c r="AT152" s="28"/>
      <c r="AU152" s="5"/>
      <c r="AV152" s="5"/>
      <c r="CE152" s="2"/>
      <c r="CF152" s="19"/>
      <c r="CG152" s="2">
        <f t="shared" si="14"/>
        <v>0</v>
      </c>
      <c r="CH152" s="2">
        <f t="shared" si="15"/>
        <v>0</v>
      </c>
      <c r="CI152" s="2"/>
      <c r="CJ152" s="20">
        <f t="shared" si="20"/>
        <v>0</v>
      </c>
    </row>
    <row r="153" spans="1:88" x14ac:dyDescent="0.25">
      <c r="A153" s="5"/>
      <c r="B153" s="5"/>
      <c r="C153" s="5"/>
      <c r="D153" s="5"/>
      <c r="E153" s="10">
        <f t="shared" si="16"/>
        <v>0</v>
      </c>
      <c r="F153" s="5"/>
      <c r="G153" s="3">
        <f t="shared" si="17"/>
        <v>0</v>
      </c>
      <c r="H153" s="25"/>
      <c r="I153" s="5"/>
      <c r="J153" s="5"/>
      <c r="AM153" s="9"/>
      <c r="AN153" s="5"/>
      <c r="AO153" s="5"/>
      <c r="AP153" s="5"/>
      <c r="AQ153" s="10">
        <f t="shared" si="18"/>
        <v>0</v>
      </c>
      <c r="AR153" s="5"/>
      <c r="AS153" s="3">
        <f t="shared" si="19"/>
        <v>0</v>
      </c>
      <c r="AT153" s="28"/>
      <c r="AU153" s="5"/>
      <c r="AV153" s="5"/>
      <c r="CE153" s="2"/>
      <c r="CF153" s="19"/>
      <c r="CG153" s="2">
        <f t="shared" si="14"/>
        <v>0</v>
      </c>
      <c r="CH153" s="2">
        <f t="shared" si="15"/>
        <v>0</v>
      </c>
      <c r="CI153" s="2"/>
      <c r="CJ153" s="20">
        <f t="shared" si="20"/>
        <v>0</v>
      </c>
    </row>
    <row r="154" spans="1:88" x14ac:dyDescent="0.25">
      <c r="A154" s="5"/>
      <c r="B154" s="5"/>
      <c r="C154" s="5"/>
      <c r="D154" s="5"/>
      <c r="E154" s="10">
        <f t="shared" si="16"/>
        <v>0</v>
      </c>
      <c r="F154" s="5"/>
      <c r="G154" s="3">
        <f t="shared" si="17"/>
        <v>0</v>
      </c>
      <c r="H154" s="25"/>
      <c r="I154" s="5"/>
      <c r="J154" s="5"/>
      <c r="AM154" s="9"/>
      <c r="AN154" s="5"/>
      <c r="AO154" s="5"/>
      <c r="AP154" s="5"/>
      <c r="AQ154" s="10">
        <f t="shared" si="18"/>
        <v>0</v>
      </c>
      <c r="AR154" s="5"/>
      <c r="AS154" s="3">
        <f t="shared" si="19"/>
        <v>0</v>
      </c>
      <c r="AT154" s="28"/>
      <c r="AU154" s="5"/>
      <c r="AV154" s="5"/>
      <c r="CE154" s="2"/>
      <c r="CF154" s="19"/>
      <c r="CG154" s="2">
        <f t="shared" si="14"/>
        <v>0</v>
      </c>
      <c r="CH154" s="2">
        <f t="shared" si="15"/>
        <v>0</v>
      </c>
      <c r="CI154" s="2"/>
      <c r="CJ154" s="20">
        <f t="shared" si="20"/>
        <v>0</v>
      </c>
    </row>
    <row r="155" spans="1:88" x14ac:dyDescent="0.25">
      <c r="A155" s="5"/>
      <c r="B155" s="5"/>
      <c r="C155" s="5"/>
      <c r="D155" s="5"/>
      <c r="E155" s="10">
        <f t="shared" si="16"/>
        <v>0</v>
      </c>
      <c r="F155" s="5"/>
      <c r="G155" s="3">
        <f t="shared" si="17"/>
        <v>0</v>
      </c>
      <c r="H155" s="25"/>
      <c r="I155" s="5"/>
      <c r="J155" s="5"/>
      <c r="AM155" s="9"/>
      <c r="AN155" s="5"/>
      <c r="AO155" s="5"/>
      <c r="AP155" s="5"/>
      <c r="AQ155" s="10">
        <f t="shared" si="18"/>
        <v>0</v>
      </c>
      <c r="AR155" s="5"/>
      <c r="AS155" s="3">
        <f t="shared" si="19"/>
        <v>0</v>
      </c>
      <c r="AT155" s="28"/>
      <c r="AU155" s="5"/>
      <c r="AV155" s="5"/>
      <c r="CE155" s="2"/>
      <c r="CF155" s="19"/>
      <c r="CG155" s="2">
        <f t="shared" si="14"/>
        <v>0</v>
      </c>
      <c r="CH155" s="2">
        <f t="shared" si="15"/>
        <v>0</v>
      </c>
      <c r="CI155" s="2"/>
      <c r="CJ155" s="41">
        <f t="shared" si="20"/>
        <v>0</v>
      </c>
    </row>
    <row r="156" spans="1:88" x14ac:dyDescent="0.25">
      <c r="A156" s="5"/>
      <c r="B156" s="27"/>
      <c r="C156" s="5"/>
      <c r="D156" s="27"/>
      <c r="E156" s="32">
        <f t="shared" si="16"/>
        <v>0</v>
      </c>
      <c r="F156" s="27"/>
      <c r="G156" s="33">
        <f t="shared" si="17"/>
        <v>0</v>
      </c>
      <c r="H156" s="25"/>
      <c r="I156" s="5"/>
      <c r="J156" s="5"/>
      <c r="AM156" s="9"/>
      <c r="AN156" s="27"/>
      <c r="AO156" s="5"/>
      <c r="AP156" s="27"/>
      <c r="AQ156" s="32">
        <f t="shared" si="18"/>
        <v>0</v>
      </c>
      <c r="AR156" s="27"/>
      <c r="AS156" s="33">
        <f t="shared" si="19"/>
        <v>0</v>
      </c>
      <c r="AT156" s="28"/>
      <c r="AU156" s="5"/>
      <c r="AV156" s="5"/>
      <c r="CE156" s="2"/>
      <c r="CF156" s="19"/>
      <c r="CG156" s="2">
        <f t="shared" si="14"/>
        <v>0</v>
      </c>
      <c r="CH156" s="2">
        <f t="shared" si="15"/>
        <v>0</v>
      </c>
      <c r="CI156" s="2"/>
      <c r="CJ156" s="20">
        <f t="shared" si="20"/>
        <v>0</v>
      </c>
    </row>
    <row r="157" spans="1:88" x14ac:dyDescent="0.25">
      <c r="A157" s="5"/>
      <c r="B157" s="5"/>
      <c r="C157" s="5"/>
      <c r="D157" s="5"/>
      <c r="E157" s="10">
        <f t="shared" si="16"/>
        <v>0</v>
      </c>
      <c r="F157" s="5"/>
      <c r="G157" s="3">
        <f t="shared" si="17"/>
        <v>0</v>
      </c>
      <c r="H157" s="25"/>
      <c r="I157" s="5"/>
      <c r="J157" s="5"/>
      <c r="AM157" s="9"/>
      <c r="AN157" s="5"/>
      <c r="AO157" s="5"/>
      <c r="AP157" s="5"/>
      <c r="AQ157" s="10">
        <f t="shared" si="18"/>
        <v>0</v>
      </c>
      <c r="AR157" s="5"/>
      <c r="AS157" s="3">
        <f t="shared" si="19"/>
        <v>0</v>
      </c>
      <c r="AT157" s="28"/>
      <c r="AU157" s="5"/>
      <c r="AV157" s="5"/>
      <c r="CE157" s="2"/>
      <c r="CF157" s="19"/>
      <c r="CG157" s="2">
        <f t="shared" si="14"/>
        <v>0</v>
      </c>
      <c r="CH157" s="2">
        <f t="shared" si="15"/>
        <v>0</v>
      </c>
      <c r="CI157" s="2"/>
      <c r="CJ157" s="20">
        <f t="shared" si="20"/>
        <v>0</v>
      </c>
    </row>
    <row r="158" spans="1:88" x14ac:dyDescent="0.25">
      <c r="A158" s="5"/>
      <c r="B158" s="5"/>
      <c r="C158" s="5"/>
      <c r="D158" s="5"/>
      <c r="E158" s="10">
        <f t="shared" si="16"/>
        <v>0</v>
      </c>
      <c r="F158" s="5"/>
      <c r="G158" s="3">
        <f t="shared" si="17"/>
        <v>0</v>
      </c>
      <c r="H158" s="25"/>
      <c r="I158" s="5"/>
      <c r="J158" s="5"/>
      <c r="AM158" s="9"/>
      <c r="AN158" s="5"/>
      <c r="AO158" s="5"/>
      <c r="AP158" s="5"/>
      <c r="AQ158" s="10">
        <f t="shared" si="18"/>
        <v>0</v>
      </c>
      <c r="AR158" s="5"/>
      <c r="AS158" s="3">
        <f t="shared" si="19"/>
        <v>0</v>
      </c>
      <c r="AT158" s="28"/>
      <c r="AU158" s="5"/>
      <c r="AV158" s="5"/>
      <c r="CE158" s="2"/>
      <c r="CF158" s="19"/>
      <c r="CG158" s="2">
        <f t="shared" si="14"/>
        <v>0</v>
      </c>
      <c r="CH158" s="2">
        <f t="shared" si="15"/>
        <v>0</v>
      </c>
      <c r="CI158" s="2"/>
      <c r="CJ158" s="20">
        <f t="shared" si="20"/>
        <v>0</v>
      </c>
    </row>
    <row r="159" spans="1:88" x14ac:dyDescent="0.25">
      <c r="A159" s="5"/>
      <c r="B159" s="5"/>
      <c r="C159" s="5"/>
      <c r="D159" s="5"/>
      <c r="E159" s="10">
        <f t="shared" si="16"/>
        <v>0</v>
      </c>
      <c r="F159" s="5"/>
      <c r="G159" s="3">
        <f t="shared" si="17"/>
        <v>0</v>
      </c>
      <c r="H159" s="25"/>
      <c r="I159" s="5"/>
      <c r="J159" s="5"/>
      <c r="AM159" s="9"/>
      <c r="AN159" s="5"/>
      <c r="AO159" s="5"/>
      <c r="AP159" s="5"/>
      <c r="AQ159" s="10">
        <f t="shared" si="18"/>
        <v>0</v>
      </c>
      <c r="AR159" s="5"/>
      <c r="AS159" s="3">
        <f t="shared" si="19"/>
        <v>0</v>
      </c>
      <c r="AT159" s="28"/>
      <c r="AU159" s="5"/>
      <c r="AV159" s="5"/>
      <c r="CE159" s="2"/>
      <c r="CF159" s="19"/>
      <c r="CG159" s="2">
        <f t="shared" si="14"/>
        <v>0</v>
      </c>
      <c r="CH159" s="2">
        <f t="shared" si="15"/>
        <v>0</v>
      </c>
      <c r="CI159" s="2"/>
      <c r="CJ159" s="20">
        <f t="shared" si="20"/>
        <v>0</v>
      </c>
    </row>
    <row r="160" spans="1:88" x14ac:dyDescent="0.25">
      <c r="A160" s="5"/>
      <c r="B160" s="5"/>
      <c r="C160" s="5"/>
      <c r="D160" s="5"/>
      <c r="E160" s="10">
        <f t="shared" si="16"/>
        <v>0</v>
      </c>
      <c r="F160" s="5"/>
      <c r="G160" s="3">
        <f t="shared" si="17"/>
        <v>0</v>
      </c>
      <c r="H160" s="25"/>
      <c r="I160" s="5"/>
      <c r="J160" s="5"/>
      <c r="AM160" s="9"/>
      <c r="AN160" s="5"/>
      <c r="AO160" s="5"/>
      <c r="AP160" s="5"/>
      <c r="AQ160" s="10">
        <f t="shared" si="18"/>
        <v>0</v>
      </c>
      <c r="AR160" s="5"/>
      <c r="AS160" s="3">
        <f t="shared" si="19"/>
        <v>0</v>
      </c>
      <c r="AT160" s="28"/>
      <c r="AU160" s="5"/>
      <c r="AV160" s="5"/>
      <c r="CE160" s="2"/>
      <c r="CF160" s="19"/>
      <c r="CG160" s="2">
        <f t="shared" si="14"/>
        <v>0</v>
      </c>
      <c r="CH160" s="2">
        <f t="shared" si="15"/>
        <v>0</v>
      </c>
      <c r="CI160" s="2"/>
      <c r="CJ160" s="20">
        <f t="shared" si="20"/>
        <v>0</v>
      </c>
    </row>
    <row r="161" spans="1:88" x14ac:dyDescent="0.25">
      <c r="A161" s="5"/>
      <c r="B161" s="5"/>
      <c r="C161" s="5"/>
      <c r="D161" s="5"/>
      <c r="E161" s="10">
        <f t="shared" si="16"/>
        <v>0</v>
      </c>
      <c r="F161" s="5"/>
      <c r="G161" s="3">
        <f t="shared" si="17"/>
        <v>0</v>
      </c>
      <c r="H161" s="25"/>
      <c r="I161" s="5"/>
      <c r="J161" s="5"/>
      <c r="AM161" s="9"/>
      <c r="AN161" s="5"/>
      <c r="AO161" s="5"/>
      <c r="AP161" s="5"/>
      <c r="AQ161" s="10">
        <f t="shared" si="18"/>
        <v>0</v>
      </c>
      <c r="AR161" s="5"/>
      <c r="AS161" s="3">
        <f t="shared" si="19"/>
        <v>0</v>
      </c>
      <c r="AT161" s="28"/>
      <c r="AU161" s="5"/>
      <c r="AV161" s="5"/>
      <c r="CE161" s="2"/>
      <c r="CF161" s="19"/>
      <c r="CG161" s="2">
        <f t="shared" si="14"/>
        <v>0</v>
      </c>
      <c r="CH161" s="2">
        <f t="shared" si="15"/>
        <v>0</v>
      </c>
      <c r="CI161" s="2"/>
      <c r="CJ161" s="20">
        <f t="shared" si="20"/>
        <v>0</v>
      </c>
    </row>
    <row r="162" spans="1:88" x14ac:dyDescent="0.25">
      <c r="A162" s="5"/>
      <c r="B162" s="5"/>
      <c r="C162" s="5"/>
      <c r="D162" s="5"/>
      <c r="E162" s="10">
        <f t="shared" si="16"/>
        <v>0</v>
      </c>
      <c r="F162" s="5"/>
      <c r="G162" s="3">
        <f t="shared" si="17"/>
        <v>0</v>
      </c>
      <c r="H162" s="25"/>
      <c r="I162" s="5"/>
      <c r="J162" s="5"/>
      <c r="AM162" s="9"/>
      <c r="AN162" s="5"/>
      <c r="AO162" s="5"/>
      <c r="AP162" s="5"/>
      <c r="AQ162" s="10">
        <f t="shared" si="18"/>
        <v>0</v>
      </c>
      <c r="AR162" s="5"/>
      <c r="AS162" s="3">
        <f t="shared" si="19"/>
        <v>0</v>
      </c>
      <c r="AT162" s="28"/>
      <c r="AU162" s="5"/>
      <c r="AV162" s="5"/>
      <c r="CE162" s="2"/>
      <c r="CF162" s="19"/>
      <c r="CG162" s="2">
        <f t="shared" si="14"/>
        <v>0</v>
      </c>
      <c r="CH162" s="2">
        <f t="shared" si="15"/>
        <v>0</v>
      </c>
      <c r="CI162" s="2"/>
      <c r="CJ162" s="20">
        <f t="shared" si="20"/>
        <v>0</v>
      </c>
    </row>
    <row r="163" spans="1:88" x14ac:dyDescent="0.25">
      <c r="A163" s="5"/>
      <c r="B163" s="5"/>
      <c r="C163" s="5"/>
      <c r="D163" s="5"/>
      <c r="E163" s="10">
        <f t="shared" si="16"/>
        <v>0</v>
      </c>
      <c r="F163" s="5"/>
      <c r="G163" s="3">
        <f t="shared" si="17"/>
        <v>0</v>
      </c>
      <c r="H163" s="25"/>
      <c r="I163" s="5"/>
      <c r="J163" s="5"/>
      <c r="AM163" s="9"/>
      <c r="AN163" s="5"/>
      <c r="AO163" s="5"/>
      <c r="AP163" s="5"/>
      <c r="AQ163" s="10">
        <f t="shared" si="18"/>
        <v>0</v>
      </c>
      <c r="AR163" s="5"/>
      <c r="AS163" s="3">
        <f t="shared" si="19"/>
        <v>0</v>
      </c>
      <c r="AT163" s="28"/>
      <c r="AU163" s="5"/>
      <c r="AV163" s="5"/>
      <c r="CE163" s="2"/>
      <c r="CF163" s="19"/>
      <c r="CG163" s="2">
        <f t="shared" si="14"/>
        <v>0</v>
      </c>
      <c r="CH163" s="2">
        <f t="shared" si="15"/>
        <v>0</v>
      </c>
      <c r="CI163" s="2"/>
      <c r="CJ163" s="20">
        <f t="shared" si="20"/>
        <v>0</v>
      </c>
    </row>
    <row r="164" spans="1:88" x14ac:dyDescent="0.25">
      <c r="A164" s="5"/>
      <c r="B164" s="5"/>
      <c r="C164" s="5"/>
      <c r="D164" s="5"/>
      <c r="E164" s="10">
        <f t="shared" si="16"/>
        <v>0</v>
      </c>
      <c r="F164" s="5"/>
      <c r="G164" s="3">
        <f t="shared" si="17"/>
        <v>0</v>
      </c>
      <c r="H164" s="25"/>
      <c r="I164" s="5"/>
      <c r="J164" s="5"/>
      <c r="AM164" s="9"/>
      <c r="AN164" s="5"/>
      <c r="AO164" s="5"/>
      <c r="AP164" s="5"/>
      <c r="AQ164" s="10">
        <f t="shared" si="18"/>
        <v>0</v>
      </c>
      <c r="AR164" s="5"/>
      <c r="AS164" s="3">
        <f t="shared" si="19"/>
        <v>0</v>
      </c>
      <c r="AT164" s="28"/>
      <c r="AU164" s="5"/>
      <c r="AV164" s="5"/>
      <c r="CE164" s="2"/>
      <c r="CF164" s="19"/>
      <c r="CG164" s="2">
        <f t="shared" si="14"/>
        <v>0</v>
      </c>
      <c r="CH164" s="2">
        <f t="shared" si="15"/>
        <v>0</v>
      </c>
      <c r="CI164" s="2"/>
      <c r="CJ164" s="20">
        <f t="shared" si="20"/>
        <v>0</v>
      </c>
    </row>
    <row r="165" spans="1:88" x14ac:dyDescent="0.25">
      <c r="A165" s="5"/>
      <c r="B165" s="5"/>
      <c r="C165" s="5"/>
      <c r="D165" s="5"/>
      <c r="E165" s="10">
        <f t="shared" si="16"/>
        <v>0</v>
      </c>
      <c r="F165" s="5"/>
      <c r="G165" s="3">
        <f t="shared" si="17"/>
        <v>0</v>
      </c>
      <c r="H165" s="25"/>
      <c r="I165" s="5"/>
      <c r="J165" s="5"/>
      <c r="AM165" s="9"/>
      <c r="AN165" s="5"/>
      <c r="AO165" s="5"/>
      <c r="AP165" s="5"/>
      <c r="AQ165" s="10">
        <f t="shared" si="18"/>
        <v>0</v>
      </c>
      <c r="AR165" s="5"/>
      <c r="AS165" s="3">
        <f t="shared" si="19"/>
        <v>0</v>
      </c>
      <c r="AT165" s="28"/>
      <c r="AU165" s="5"/>
      <c r="AV165" s="5"/>
      <c r="CE165" s="2"/>
      <c r="CF165" s="19"/>
      <c r="CG165" s="2">
        <f t="shared" si="14"/>
        <v>0</v>
      </c>
      <c r="CH165" s="2">
        <f t="shared" si="15"/>
        <v>0</v>
      </c>
      <c r="CI165" s="2"/>
      <c r="CJ165" s="20">
        <f t="shared" si="20"/>
        <v>0</v>
      </c>
    </row>
    <row r="166" spans="1:88" x14ac:dyDescent="0.25">
      <c r="A166" s="5"/>
      <c r="B166" s="5"/>
      <c r="C166" s="5"/>
      <c r="D166" s="5"/>
      <c r="E166" s="10">
        <f t="shared" si="16"/>
        <v>0</v>
      </c>
      <c r="F166" s="5"/>
      <c r="G166" s="3">
        <f t="shared" si="17"/>
        <v>0</v>
      </c>
      <c r="H166" s="25"/>
      <c r="I166" s="5"/>
      <c r="J166" s="5"/>
      <c r="AM166" s="9"/>
      <c r="AN166" s="5"/>
      <c r="AO166" s="5"/>
      <c r="AP166" s="5"/>
      <c r="AQ166" s="10">
        <f t="shared" si="18"/>
        <v>0</v>
      </c>
      <c r="AR166" s="5"/>
      <c r="AS166" s="3">
        <f t="shared" si="19"/>
        <v>0</v>
      </c>
      <c r="AT166" s="28"/>
      <c r="AU166" s="5"/>
      <c r="AV166" s="5"/>
      <c r="CE166" s="2"/>
      <c r="CF166" s="19"/>
      <c r="CG166" s="2">
        <f t="shared" si="14"/>
        <v>0</v>
      </c>
      <c r="CH166" s="2">
        <f t="shared" si="15"/>
        <v>0</v>
      </c>
      <c r="CI166" s="2"/>
      <c r="CJ166" s="20">
        <f t="shared" si="20"/>
        <v>0</v>
      </c>
    </row>
    <row r="167" spans="1:88" x14ac:dyDescent="0.25">
      <c r="A167" s="5"/>
      <c r="B167" s="5"/>
      <c r="C167" s="5"/>
      <c r="D167" s="5"/>
      <c r="E167" s="10">
        <f t="shared" si="16"/>
        <v>0</v>
      </c>
      <c r="F167" s="5"/>
      <c r="G167" s="3">
        <f t="shared" si="17"/>
        <v>0</v>
      </c>
      <c r="H167" s="25"/>
      <c r="I167" s="5"/>
      <c r="J167" s="5"/>
      <c r="AM167" s="9"/>
      <c r="AN167" s="5"/>
      <c r="AO167" s="5"/>
      <c r="AP167" s="5"/>
      <c r="AQ167" s="10">
        <f t="shared" si="18"/>
        <v>0</v>
      </c>
      <c r="AR167" s="5"/>
      <c r="AS167" s="3">
        <f t="shared" si="19"/>
        <v>0</v>
      </c>
      <c r="AT167" s="28"/>
      <c r="AU167" s="5"/>
      <c r="AV167" s="5"/>
      <c r="CE167" s="2"/>
      <c r="CF167" s="19"/>
      <c r="CG167" s="2">
        <f t="shared" si="14"/>
        <v>0</v>
      </c>
      <c r="CH167" s="2">
        <f t="shared" si="15"/>
        <v>0</v>
      </c>
      <c r="CI167" s="2"/>
      <c r="CJ167" s="20">
        <f t="shared" si="20"/>
        <v>0</v>
      </c>
    </row>
    <row r="168" spans="1:88" x14ac:dyDescent="0.25">
      <c r="A168" s="5"/>
      <c r="B168" s="5"/>
      <c r="C168" s="5"/>
      <c r="D168" s="5"/>
      <c r="E168" s="10">
        <f t="shared" si="16"/>
        <v>0</v>
      </c>
      <c r="F168" s="5"/>
      <c r="G168" s="3">
        <f t="shared" si="17"/>
        <v>0</v>
      </c>
      <c r="H168" s="25"/>
      <c r="I168" s="5"/>
      <c r="J168" s="5"/>
      <c r="AM168" s="9"/>
      <c r="AN168" s="5"/>
      <c r="AO168" s="5"/>
      <c r="AP168" s="5"/>
      <c r="AQ168" s="10">
        <f t="shared" si="18"/>
        <v>0</v>
      </c>
      <c r="AR168" s="5"/>
      <c r="AS168" s="3">
        <f t="shared" si="19"/>
        <v>0</v>
      </c>
      <c r="AT168" s="28"/>
      <c r="AU168" s="5"/>
      <c r="AV168" s="5"/>
      <c r="CE168" s="2"/>
      <c r="CF168" s="19"/>
      <c r="CG168" s="2">
        <f t="shared" si="14"/>
        <v>0</v>
      </c>
      <c r="CH168" s="2">
        <f t="shared" si="15"/>
        <v>0</v>
      </c>
      <c r="CI168" s="2"/>
      <c r="CJ168" s="20">
        <f t="shared" si="20"/>
        <v>0</v>
      </c>
    </row>
    <row r="169" spans="1:88" x14ac:dyDescent="0.25">
      <c r="A169" s="5"/>
      <c r="B169" s="5"/>
      <c r="C169" s="5"/>
      <c r="D169" s="5"/>
      <c r="E169" s="10">
        <f t="shared" si="16"/>
        <v>0</v>
      </c>
      <c r="F169" s="5"/>
      <c r="G169" s="3">
        <f t="shared" si="17"/>
        <v>0</v>
      </c>
      <c r="H169" s="25"/>
      <c r="I169" s="5"/>
      <c r="J169" s="5"/>
      <c r="AM169" s="9"/>
      <c r="AN169" s="5"/>
      <c r="AO169" s="5"/>
      <c r="AP169" s="5"/>
      <c r="AQ169" s="10">
        <f t="shared" si="18"/>
        <v>0</v>
      </c>
      <c r="AR169" s="5"/>
      <c r="AS169" s="3">
        <f t="shared" si="19"/>
        <v>0</v>
      </c>
      <c r="AT169" s="28"/>
      <c r="AU169" s="5"/>
      <c r="AV169" s="5"/>
      <c r="CE169" s="2"/>
      <c r="CF169" s="19"/>
      <c r="CG169" s="2">
        <f t="shared" si="14"/>
        <v>0</v>
      </c>
      <c r="CH169" s="2">
        <f t="shared" si="15"/>
        <v>0</v>
      </c>
      <c r="CI169" s="2"/>
      <c r="CJ169" s="20">
        <f t="shared" si="20"/>
        <v>0</v>
      </c>
    </row>
    <row r="170" spans="1:88" x14ac:dyDescent="0.25">
      <c r="A170" s="5"/>
      <c r="B170" s="5"/>
      <c r="C170" s="5"/>
      <c r="D170" s="5"/>
      <c r="E170" s="10">
        <f t="shared" si="16"/>
        <v>0</v>
      </c>
      <c r="F170" s="5"/>
      <c r="G170" s="3">
        <f t="shared" si="17"/>
        <v>0</v>
      </c>
      <c r="H170" s="25"/>
      <c r="I170" s="5"/>
      <c r="J170" s="5"/>
      <c r="AM170" s="9"/>
      <c r="AN170" s="5"/>
      <c r="AO170" s="5"/>
      <c r="AP170" s="5"/>
      <c r="AQ170" s="10">
        <f t="shared" si="18"/>
        <v>0</v>
      </c>
      <c r="AR170" s="5"/>
      <c r="AS170" s="3">
        <f t="shared" si="19"/>
        <v>0</v>
      </c>
      <c r="AT170" s="28"/>
      <c r="AU170" s="5"/>
      <c r="AV170" s="5"/>
      <c r="CE170" s="2"/>
      <c r="CF170" s="19"/>
      <c r="CG170" s="2">
        <f t="shared" si="14"/>
        <v>0</v>
      </c>
      <c r="CH170" s="2">
        <f t="shared" si="15"/>
        <v>0</v>
      </c>
      <c r="CI170" s="2"/>
      <c r="CJ170" s="20">
        <f t="shared" si="20"/>
        <v>0</v>
      </c>
    </row>
    <row r="171" spans="1:88" x14ac:dyDescent="0.25">
      <c r="A171" s="5"/>
      <c r="B171" s="5"/>
      <c r="C171" s="5"/>
      <c r="D171" s="5"/>
      <c r="E171" s="10">
        <f t="shared" si="16"/>
        <v>0</v>
      </c>
      <c r="F171" s="5"/>
      <c r="G171" s="3">
        <f t="shared" si="17"/>
        <v>0</v>
      </c>
      <c r="H171" s="25"/>
      <c r="I171" s="5"/>
      <c r="J171" s="5"/>
      <c r="AM171" s="9"/>
      <c r="AN171" s="5"/>
      <c r="AO171" s="5"/>
      <c r="AP171" s="5"/>
      <c r="AQ171" s="10">
        <f t="shared" si="18"/>
        <v>0</v>
      </c>
      <c r="AR171" s="5"/>
      <c r="AS171" s="3">
        <f t="shared" si="19"/>
        <v>0</v>
      </c>
      <c r="AT171" s="28"/>
      <c r="AU171" s="5"/>
      <c r="AV171" s="5"/>
      <c r="CE171" s="2"/>
      <c r="CF171" s="19"/>
      <c r="CG171" s="2">
        <f t="shared" si="14"/>
        <v>0</v>
      </c>
      <c r="CH171" s="2">
        <f t="shared" si="15"/>
        <v>0</v>
      </c>
      <c r="CI171" s="2"/>
      <c r="CJ171" s="20">
        <f t="shared" si="20"/>
        <v>0</v>
      </c>
    </row>
    <row r="172" spans="1:88" x14ac:dyDescent="0.25">
      <c r="A172" s="5"/>
      <c r="B172" s="5"/>
      <c r="C172" s="5"/>
      <c r="D172" s="5"/>
      <c r="E172" s="10">
        <f t="shared" si="16"/>
        <v>0</v>
      </c>
      <c r="F172" s="5"/>
      <c r="G172" s="3">
        <f t="shared" si="17"/>
        <v>0</v>
      </c>
      <c r="H172" s="25"/>
      <c r="I172" s="5"/>
      <c r="J172" s="5"/>
      <c r="AM172" s="9"/>
      <c r="AN172" s="5"/>
      <c r="AO172" s="5"/>
      <c r="AP172" s="5"/>
      <c r="AQ172" s="10">
        <f t="shared" si="18"/>
        <v>0</v>
      </c>
      <c r="AR172" s="5"/>
      <c r="AS172" s="3">
        <f t="shared" si="19"/>
        <v>0</v>
      </c>
      <c r="AT172" s="28"/>
      <c r="AU172" s="5"/>
      <c r="AV172" s="5"/>
      <c r="CE172" s="2"/>
      <c r="CF172" s="19"/>
      <c r="CG172" s="2">
        <f t="shared" si="14"/>
        <v>0</v>
      </c>
      <c r="CH172" s="2">
        <f t="shared" si="15"/>
        <v>0</v>
      </c>
      <c r="CI172" s="2"/>
      <c r="CJ172" s="20">
        <f t="shared" si="20"/>
        <v>0</v>
      </c>
    </row>
    <row r="173" spans="1:88" x14ac:dyDescent="0.25">
      <c r="A173" s="5"/>
      <c r="B173" s="5"/>
      <c r="C173" s="5"/>
      <c r="D173" s="5"/>
      <c r="E173" s="10">
        <f t="shared" si="16"/>
        <v>0</v>
      </c>
      <c r="F173" s="5"/>
      <c r="G173" s="3">
        <f t="shared" si="17"/>
        <v>0</v>
      </c>
      <c r="H173" s="25"/>
      <c r="I173" s="5"/>
      <c r="J173" s="5"/>
      <c r="AM173" s="9"/>
      <c r="AN173" s="5"/>
      <c r="AO173" s="5"/>
      <c r="AP173" s="5"/>
      <c r="AQ173" s="10">
        <f t="shared" si="18"/>
        <v>0</v>
      </c>
      <c r="AR173" s="5"/>
      <c r="AS173" s="3">
        <f t="shared" si="19"/>
        <v>0</v>
      </c>
      <c r="AT173" s="28"/>
      <c r="AU173" s="5"/>
      <c r="AV173" s="5"/>
      <c r="CE173" s="2"/>
      <c r="CF173" s="19"/>
      <c r="CG173" s="2">
        <f t="shared" si="14"/>
        <v>0</v>
      </c>
      <c r="CH173" s="2">
        <f t="shared" si="15"/>
        <v>0</v>
      </c>
      <c r="CI173" s="2"/>
      <c r="CJ173" s="20">
        <f t="shared" si="20"/>
        <v>0</v>
      </c>
    </row>
    <row r="174" spans="1:88" x14ac:dyDescent="0.25">
      <c r="A174" s="5"/>
      <c r="B174" s="5"/>
      <c r="C174" s="5"/>
      <c r="D174" s="5"/>
      <c r="E174" s="10">
        <f t="shared" si="16"/>
        <v>0</v>
      </c>
      <c r="F174" s="5"/>
      <c r="G174" s="3">
        <f t="shared" si="17"/>
        <v>0</v>
      </c>
      <c r="H174" s="25"/>
      <c r="I174" s="5"/>
      <c r="J174" s="5"/>
      <c r="AM174" s="9"/>
      <c r="AN174" s="5"/>
      <c r="AO174" s="5"/>
      <c r="AP174" s="5"/>
      <c r="AQ174" s="10">
        <f t="shared" si="18"/>
        <v>0</v>
      </c>
      <c r="AR174" s="5"/>
      <c r="AS174" s="3">
        <f t="shared" si="19"/>
        <v>0</v>
      </c>
      <c r="AT174" s="28"/>
      <c r="AU174" s="5"/>
      <c r="AV174" s="5"/>
      <c r="CE174" s="2"/>
      <c r="CF174" s="19"/>
      <c r="CG174" s="2">
        <f t="shared" si="14"/>
        <v>0</v>
      </c>
      <c r="CH174" s="2">
        <f t="shared" si="15"/>
        <v>0</v>
      </c>
      <c r="CI174" s="2"/>
      <c r="CJ174" s="20">
        <f t="shared" si="20"/>
        <v>0</v>
      </c>
    </row>
    <row r="175" spans="1:88" x14ac:dyDescent="0.25">
      <c r="A175" s="5"/>
      <c r="B175" s="5"/>
      <c r="C175" s="5"/>
      <c r="D175" s="5"/>
      <c r="E175" s="10">
        <f t="shared" si="16"/>
        <v>0</v>
      </c>
      <c r="F175" s="5"/>
      <c r="G175" s="3">
        <f t="shared" si="17"/>
        <v>0</v>
      </c>
      <c r="H175" s="25"/>
      <c r="I175" s="5"/>
      <c r="J175" s="5"/>
      <c r="AM175" s="9"/>
      <c r="AN175" s="5"/>
      <c r="AO175" s="5"/>
      <c r="AP175" s="5"/>
      <c r="AQ175" s="10">
        <f t="shared" si="18"/>
        <v>0</v>
      </c>
      <c r="AR175" s="5"/>
      <c r="AS175" s="3">
        <f t="shared" si="19"/>
        <v>0</v>
      </c>
      <c r="AT175" s="28"/>
      <c r="AU175" s="5"/>
      <c r="AV175" s="5"/>
      <c r="CE175" s="2"/>
      <c r="CF175" s="19"/>
      <c r="CG175" s="2">
        <f t="shared" si="14"/>
        <v>0</v>
      </c>
      <c r="CH175" s="2">
        <f t="shared" si="15"/>
        <v>0</v>
      </c>
      <c r="CI175" s="2"/>
      <c r="CJ175" s="20">
        <f t="shared" si="20"/>
        <v>0</v>
      </c>
    </row>
    <row r="176" spans="1:88" x14ac:dyDescent="0.25">
      <c r="A176" s="5"/>
      <c r="B176" s="5"/>
      <c r="C176" s="5"/>
      <c r="D176" s="5"/>
      <c r="E176" s="10">
        <f t="shared" si="16"/>
        <v>0</v>
      </c>
      <c r="F176" s="5"/>
      <c r="G176" s="3">
        <f t="shared" si="17"/>
        <v>0</v>
      </c>
      <c r="H176" s="25"/>
      <c r="I176" s="5"/>
      <c r="J176" s="5"/>
      <c r="AM176" s="9"/>
      <c r="AN176" s="5"/>
      <c r="AO176" s="5"/>
      <c r="AP176" s="5"/>
      <c r="AQ176" s="10">
        <f t="shared" si="18"/>
        <v>0</v>
      </c>
      <c r="AR176" s="5"/>
      <c r="AS176" s="3">
        <f t="shared" si="19"/>
        <v>0</v>
      </c>
      <c r="AT176" s="28"/>
      <c r="AU176" s="5"/>
      <c r="AV176" s="5"/>
      <c r="CE176" s="2"/>
      <c r="CF176" s="19"/>
      <c r="CG176" s="2">
        <f t="shared" si="14"/>
        <v>0</v>
      </c>
      <c r="CH176" s="2">
        <f t="shared" si="15"/>
        <v>0</v>
      </c>
      <c r="CI176" s="2"/>
      <c r="CJ176" s="20">
        <f t="shared" si="20"/>
        <v>0</v>
      </c>
    </row>
    <row r="177" spans="1:88" x14ac:dyDescent="0.25">
      <c r="A177" s="5"/>
      <c r="B177" s="5"/>
      <c r="C177" s="5"/>
      <c r="D177" s="5"/>
      <c r="E177" s="10">
        <f t="shared" si="16"/>
        <v>0</v>
      </c>
      <c r="F177" s="5"/>
      <c r="G177" s="3">
        <f t="shared" si="17"/>
        <v>0</v>
      </c>
      <c r="H177" s="25"/>
      <c r="I177" s="5"/>
      <c r="J177" s="5"/>
      <c r="AM177" s="9"/>
      <c r="AN177" s="5"/>
      <c r="AO177" s="5"/>
      <c r="AP177" s="5"/>
      <c r="AQ177" s="10">
        <f t="shared" si="18"/>
        <v>0</v>
      </c>
      <c r="AR177" s="5"/>
      <c r="AS177" s="3">
        <f t="shared" si="19"/>
        <v>0</v>
      </c>
      <c r="AT177" s="28"/>
      <c r="AU177" s="5"/>
      <c r="AV177" s="5"/>
      <c r="CE177" s="2"/>
      <c r="CF177" s="19"/>
      <c r="CG177" s="2">
        <f t="shared" si="14"/>
        <v>0</v>
      </c>
      <c r="CH177" s="2">
        <f t="shared" si="15"/>
        <v>0</v>
      </c>
      <c r="CI177" s="2"/>
      <c r="CJ177" s="20">
        <f t="shared" si="20"/>
        <v>0</v>
      </c>
    </row>
    <row r="178" spans="1:88" x14ac:dyDescent="0.25">
      <c r="A178" s="5"/>
      <c r="B178" s="5"/>
      <c r="C178" s="5"/>
      <c r="D178" s="5"/>
      <c r="E178" s="10">
        <f t="shared" si="16"/>
        <v>0</v>
      </c>
      <c r="F178" s="5"/>
      <c r="G178" s="3">
        <f t="shared" si="17"/>
        <v>0</v>
      </c>
      <c r="H178" s="25"/>
      <c r="I178" s="5"/>
      <c r="J178" s="5"/>
      <c r="AM178" s="9"/>
      <c r="AN178" s="5"/>
      <c r="AO178" s="5"/>
      <c r="AP178" s="5"/>
      <c r="AQ178" s="10">
        <f t="shared" si="18"/>
        <v>0</v>
      </c>
      <c r="AR178" s="5"/>
      <c r="AS178" s="3">
        <f t="shared" si="19"/>
        <v>0</v>
      </c>
      <c r="AT178" s="28"/>
      <c r="AU178" s="5"/>
      <c r="AV178" s="5"/>
      <c r="CE178" s="2"/>
      <c r="CF178" s="19"/>
      <c r="CG178" s="2">
        <f t="shared" si="14"/>
        <v>0</v>
      </c>
      <c r="CH178" s="2">
        <f t="shared" si="15"/>
        <v>0</v>
      </c>
      <c r="CI178" s="2"/>
      <c r="CJ178" s="20">
        <f t="shared" si="20"/>
        <v>0</v>
      </c>
    </row>
    <row r="179" spans="1:88" x14ac:dyDescent="0.25">
      <c r="A179" s="5"/>
      <c r="B179" s="5"/>
      <c r="C179" s="5"/>
      <c r="D179" s="5"/>
      <c r="E179" s="10">
        <f t="shared" si="16"/>
        <v>0</v>
      </c>
      <c r="F179" s="5"/>
      <c r="G179" s="3">
        <f t="shared" si="17"/>
        <v>0</v>
      </c>
      <c r="H179" s="25"/>
      <c r="I179" s="5"/>
      <c r="J179" s="5"/>
      <c r="AM179" s="9"/>
      <c r="AN179" s="5"/>
      <c r="AO179" s="5"/>
      <c r="AP179" s="5"/>
      <c r="AQ179" s="10">
        <f t="shared" si="18"/>
        <v>0</v>
      </c>
      <c r="AR179" s="5"/>
      <c r="AS179" s="3">
        <f t="shared" si="19"/>
        <v>0</v>
      </c>
      <c r="AT179" s="28"/>
      <c r="AU179" s="5"/>
      <c r="AV179" s="5"/>
      <c r="CE179" s="2"/>
      <c r="CF179" s="19"/>
      <c r="CG179" s="2">
        <f t="shared" si="14"/>
        <v>0</v>
      </c>
      <c r="CH179" s="2">
        <f t="shared" si="15"/>
        <v>0</v>
      </c>
      <c r="CI179" s="2"/>
      <c r="CJ179" s="20">
        <f t="shared" si="20"/>
        <v>0</v>
      </c>
    </row>
    <row r="180" spans="1:88" x14ac:dyDescent="0.25">
      <c r="A180" s="5"/>
      <c r="B180" s="5"/>
      <c r="C180" s="5"/>
      <c r="D180" s="5"/>
      <c r="E180" s="10">
        <f t="shared" si="16"/>
        <v>0</v>
      </c>
      <c r="F180" s="5"/>
      <c r="G180" s="3">
        <f t="shared" si="17"/>
        <v>0</v>
      </c>
      <c r="H180" s="25"/>
      <c r="I180" s="5"/>
      <c r="J180" s="5"/>
      <c r="AM180" s="9"/>
      <c r="AN180" s="5"/>
      <c r="AO180" s="5"/>
      <c r="AP180" s="5"/>
      <c r="AQ180" s="10">
        <f t="shared" si="18"/>
        <v>0</v>
      </c>
      <c r="AR180" s="5"/>
      <c r="AS180" s="3">
        <f t="shared" si="19"/>
        <v>0</v>
      </c>
      <c r="AT180" s="28"/>
      <c r="AU180" s="5"/>
      <c r="AV180" s="5"/>
      <c r="CE180" s="2"/>
      <c r="CF180" s="19"/>
      <c r="CG180" s="2">
        <f t="shared" si="14"/>
        <v>0</v>
      </c>
      <c r="CH180" s="2">
        <f t="shared" si="15"/>
        <v>0</v>
      </c>
      <c r="CI180" s="2"/>
      <c r="CJ180" s="20">
        <f t="shared" si="20"/>
        <v>0</v>
      </c>
    </row>
    <row r="181" spans="1:88" x14ac:dyDescent="0.25">
      <c r="A181" s="5"/>
      <c r="B181" s="5"/>
      <c r="C181" s="5"/>
      <c r="D181" s="5"/>
      <c r="E181" s="10">
        <f t="shared" si="16"/>
        <v>0</v>
      </c>
      <c r="F181" s="5"/>
      <c r="G181" s="3">
        <f t="shared" si="17"/>
        <v>0</v>
      </c>
      <c r="H181" s="25"/>
      <c r="I181" s="5"/>
      <c r="J181" s="5"/>
      <c r="AM181" s="9"/>
      <c r="AN181" s="5"/>
      <c r="AO181" s="5"/>
      <c r="AP181" s="5"/>
      <c r="AQ181" s="10">
        <f t="shared" si="18"/>
        <v>0</v>
      </c>
      <c r="AR181" s="5"/>
      <c r="AS181" s="3">
        <f t="shared" si="19"/>
        <v>0</v>
      </c>
      <c r="AT181" s="28"/>
      <c r="AU181" s="5"/>
      <c r="AV181" s="5"/>
      <c r="CE181" s="2"/>
      <c r="CF181" s="19"/>
      <c r="CG181" s="2">
        <f t="shared" si="14"/>
        <v>0</v>
      </c>
      <c r="CH181" s="2">
        <f t="shared" si="15"/>
        <v>0</v>
      </c>
      <c r="CI181" s="2"/>
      <c r="CJ181" s="20">
        <f t="shared" si="20"/>
        <v>0</v>
      </c>
    </row>
    <row r="182" spans="1:88" x14ac:dyDescent="0.25">
      <c r="A182" s="5"/>
      <c r="B182" s="5"/>
      <c r="C182" s="5"/>
      <c r="D182" s="5"/>
      <c r="E182" s="10">
        <f t="shared" si="16"/>
        <v>0</v>
      </c>
      <c r="F182" s="5"/>
      <c r="G182" s="3">
        <f t="shared" si="17"/>
        <v>0</v>
      </c>
      <c r="H182" s="25"/>
      <c r="I182" s="5"/>
      <c r="J182" s="5"/>
      <c r="AM182" s="9"/>
      <c r="AN182" s="5"/>
      <c r="AO182" s="5"/>
      <c r="AP182" s="5"/>
      <c r="AQ182" s="10">
        <f t="shared" si="18"/>
        <v>0</v>
      </c>
      <c r="AR182" s="5"/>
      <c r="AS182" s="3">
        <f t="shared" si="19"/>
        <v>0</v>
      </c>
      <c r="AT182" s="28"/>
      <c r="AU182" s="5"/>
      <c r="AV182" s="5"/>
      <c r="CE182" s="2"/>
      <c r="CF182" s="19"/>
      <c r="CG182" s="2">
        <f t="shared" si="14"/>
        <v>0</v>
      </c>
      <c r="CH182" s="2">
        <f t="shared" si="15"/>
        <v>0</v>
      </c>
      <c r="CI182" s="2"/>
      <c r="CJ182" s="20">
        <f t="shared" si="20"/>
        <v>0</v>
      </c>
    </row>
    <row r="183" spans="1:88" x14ac:dyDescent="0.25">
      <c r="A183" s="5"/>
      <c r="B183" s="5"/>
      <c r="C183" s="5"/>
      <c r="D183" s="5"/>
      <c r="E183" s="10">
        <f t="shared" si="16"/>
        <v>0</v>
      </c>
      <c r="F183" s="5"/>
      <c r="G183" s="3">
        <f t="shared" si="17"/>
        <v>0</v>
      </c>
      <c r="H183" s="25"/>
      <c r="I183" s="5"/>
      <c r="J183" s="5"/>
      <c r="AM183" s="9"/>
      <c r="AN183" s="5"/>
      <c r="AO183" s="5"/>
      <c r="AP183" s="5"/>
      <c r="AQ183" s="10">
        <f t="shared" si="18"/>
        <v>0</v>
      </c>
      <c r="AR183" s="5"/>
      <c r="AS183" s="3">
        <f t="shared" si="19"/>
        <v>0</v>
      </c>
      <c r="AT183" s="28"/>
      <c r="AU183" s="5"/>
      <c r="AV183" s="5"/>
      <c r="CE183" s="2"/>
      <c r="CF183" s="19"/>
      <c r="CG183" s="2">
        <f t="shared" si="14"/>
        <v>0</v>
      </c>
      <c r="CH183" s="2">
        <f t="shared" si="15"/>
        <v>0</v>
      </c>
      <c r="CI183" s="2"/>
      <c r="CJ183" s="20">
        <f t="shared" si="20"/>
        <v>0</v>
      </c>
    </row>
    <row r="184" spans="1:88" x14ac:dyDescent="0.25">
      <c r="A184" s="5"/>
      <c r="B184" s="5"/>
      <c r="C184" s="5"/>
      <c r="D184" s="5"/>
      <c r="E184" s="10">
        <f t="shared" si="16"/>
        <v>0</v>
      </c>
      <c r="F184" s="5"/>
      <c r="G184" s="3">
        <f t="shared" si="17"/>
        <v>0</v>
      </c>
      <c r="H184" s="25"/>
      <c r="I184" s="5"/>
      <c r="J184" s="5"/>
      <c r="AM184" s="9"/>
      <c r="AN184" s="5"/>
      <c r="AO184" s="5"/>
      <c r="AP184" s="5"/>
      <c r="AQ184" s="10">
        <f t="shared" si="18"/>
        <v>0</v>
      </c>
      <c r="AR184" s="5"/>
      <c r="AS184" s="3">
        <f t="shared" si="19"/>
        <v>0</v>
      </c>
      <c r="AT184" s="28"/>
      <c r="AU184" s="5"/>
      <c r="AV184" s="5"/>
      <c r="CE184" s="2"/>
      <c r="CF184" s="19"/>
      <c r="CG184" s="2">
        <f t="shared" si="14"/>
        <v>0</v>
      </c>
      <c r="CH184" s="2">
        <f t="shared" si="15"/>
        <v>0</v>
      </c>
      <c r="CI184" s="2"/>
      <c r="CJ184" s="20">
        <f t="shared" si="20"/>
        <v>0</v>
      </c>
    </row>
    <row r="185" spans="1:88" x14ac:dyDescent="0.25">
      <c r="A185" s="5"/>
      <c r="B185" s="5"/>
      <c r="C185" s="5"/>
      <c r="D185" s="5"/>
      <c r="E185" s="10">
        <f t="shared" si="16"/>
        <v>0</v>
      </c>
      <c r="F185" s="5"/>
      <c r="G185" s="3">
        <f t="shared" si="17"/>
        <v>0</v>
      </c>
      <c r="H185" s="25"/>
      <c r="I185" s="5"/>
      <c r="J185" s="5"/>
      <c r="AM185" s="9"/>
      <c r="AN185" s="5"/>
      <c r="AO185" s="5"/>
      <c r="AP185" s="5"/>
      <c r="AQ185" s="10">
        <f t="shared" si="18"/>
        <v>0</v>
      </c>
      <c r="AR185" s="5"/>
      <c r="AS185" s="3">
        <f t="shared" si="19"/>
        <v>0</v>
      </c>
      <c r="AT185" s="28"/>
      <c r="AU185" s="5"/>
      <c r="AV185" s="5"/>
      <c r="CE185" s="2"/>
      <c r="CF185" s="19"/>
      <c r="CG185" s="2">
        <f t="shared" si="14"/>
        <v>0</v>
      </c>
      <c r="CH185" s="2">
        <f t="shared" si="15"/>
        <v>0</v>
      </c>
      <c r="CI185" s="2"/>
      <c r="CJ185" s="20">
        <f t="shared" si="20"/>
        <v>0</v>
      </c>
    </row>
    <row r="186" spans="1:88" x14ac:dyDescent="0.25">
      <c r="A186" s="5"/>
      <c r="B186" s="5"/>
      <c r="C186" s="5"/>
      <c r="D186" s="5"/>
      <c r="E186" s="10">
        <f t="shared" si="16"/>
        <v>0</v>
      </c>
      <c r="F186" s="5"/>
      <c r="G186" s="3">
        <f t="shared" si="17"/>
        <v>0</v>
      </c>
      <c r="H186" s="25"/>
      <c r="I186" s="5"/>
      <c r="J186" s="5"/>
      <c r="AM186" s="9"/>
      <c r="AN186" s="5"/>
      <c r="AO186" s="5"/>
      <c r="AP186" s="5"/>
      <c r="AQ186" s="10">
        <f t="shared" si="18"/>
        <v>0</v>
      </c>
      <c r="AR186" s="5"/>
      <c r="AS186" s="3">
        <f t="shared" si="19"/>
        <v>0</v>
      </c>
      <c r="AT186" s="28"/>
      <c r="AU186" s="5"/>
      <c r="AV186" s="5"/>
      <c r="CE186" s="2"/>
      <c r="CF186" s="19"/>
      <c r="CG186" s="2">
        <f t="shared" si="14"/>
        <v>0</v>
      </c>
      <c r="CH186" s="2">
        <f t="shared" si="15"/>
        <v>0</v>
      </c>
      <c r="CI186" s="2"/>
      <c r="CJ186" s="20">
        <f t="shared" si="20"/>
        <v>0</v>
      </c>
    </row>
    <row r="187" spans="1:88" x14ac:dyDescent="0.25">
      <c r="A187" s="5"/>
      <c r="B187" s="5"/>
      <c r="C187" s="5"/>
      <c r="D187" s="5"/>
      <c r="E187" s="10">
        <f t="shared" si="16"/>
        <v>0</v>
      </c>
      <c r="F187" s="5"/>
      <c r="G187" s="3">
        <f t="shared" si="17"/>
        <v>0</v>
      </c>
      <c r="H187" s="25"/>
      <c r="I187" s="5"/>
      <c r="J187" s="5"/>
      <c r="AM187" s="9"/>
      <c r="AN187" s="5"/>
      <c r="AO187" s="5"/>
      <c r="AP187" s="5"/>
      <c r="AQ187" s="10">
        <f t="shared" si="18"/>
        <v>0</v>
      </c>
      <c r="AR187" s="5"/>
      <c r="AS187" s="3">
        <f t="shared" si="19"/>
        <v>0</v>
      </c>
      <c r="AT187" s="28"/>
      <c r="AU187" s="5"/>
      <c r="AV187" s="5"/>
      <c r="CE187" s="2"/>
      <c r="CF187" s="19"/>
      <c r="CG187" s="2">
        <f t="shared" si="14"/>
        <v>0</v>
      </c>
      <c r="CH187" s="2">
        <f t="shared" si="15"/>
        <v>0</v>
      </c>
      <c r="CI187" s="2"/>
      <c r="CJ187" s="20">
        <f t="shared" si="20"/>
        <v>0</v>
      </c>
    </row>
    <row r="188" spans="1:88" x14ac:dyDescent="0.25">
      <c r="A188" s="5"/>
      <c r="B188" s="5"/>
      <c r="C188" s="5"/>
      <c r="D188" s="5"/>
      <c r="E188" s="10">
        <f t="shared" si="16"/>
        <v>0</v>
      </c>
      <c r="F188" s="5"/>
      <c r="G188" s="3">
        <f t="shared" si="17"/>
        <v>0</v>
      </c>
      <c r="H188" s="25"/>
      <c r="I188" s="5"/>
      <c r="J188" s="5"/>
      <c r="AM188" s="9"/>
      <c r="AN188" s="5"/>
      <c r="AO188" s="5"/>
      <c r="AP188" s="5"/>
      <c r="AQ188" s="10">
        <f t="shared" si="18"/>
        <v>0</v>
      </c>
      <c r="AR188" s="5"/>
      <c r="AS188" s="3">
        <f t="shared" si="19"/>
        <v>0</v>
      </c>
      <c r="AT188" s="28"/>
      <c r="AU188" s="5"/>
      <c r="AV188" s="5"/>
      <c r="CE188" s="2"/>
      <c r="CF188" s="19"/>
      <c r="CG188" s="2">
        <f t="shared" si="14"/>
        <v>0</v>
      </c>
      <c r="CH188" s="2">
        <f t="shared" si="15"/>
        <v>0</v>
      </c>
      <c r="CI188" s="2"/>
      <c r="CJ188" s="20">
        <f t="shared" si="20"/>
        <v>0</v>
      </c>
    </row>
    <row r="189" spans="1:88" x14ac:dyDescent="0.25">
      <c r="A189" s="5"/>
      <c r="B189" s="5"/>
      <c r="C189" s="5"/>
      <c r="D189" s="5"/>
      <c r="E189" s="10">
        <f t="shared" si="16"/>
        <v>0</v>
      </c>
      <c r="F189" s="5"/>
      <c r="G189" s="3">
        <f t="shared" si="17"/>
        <v>0</v>
      </c>
      <c r="H189" s="25"/>
      <c r="I189" s="5"/>
      <c r="J189" s="5"/>
      <c r="AM189" s="9"/>
      <c r="AN189" s="5"/>
      <c r="AO189" s="5"/>
      <c r="AP189" s="5"/>
      <c r="AQ189" s="10">
        <f t="shared" si="18"/>
        <v>0</v>
      </c>
      <c r="AR189" s="5"/>
      <c r="AS189" s="3">
        <f t="shared" si="19"/>
        <v>0</v>
      </c>
      <c r="AT189" s="28"/>
      <c r="AU189" s="5"/>
      <c r="AV189" s="5"/>
      <c r="CE189" s="2"/>
      <c r="CF189" s="19"/>
      <c r="CG189" s="2">
        <f t="shared" si="14"/>
        <v>0</v>
      </c>
      <c r="CH189" s="2">
        <f t="shared" si="15"/>
        <v>0</v>
      </c>
      <c r="CI189" s="2"/>
      <c r="CJ189" s="20">
        <f t="shared" si="20"/>
        <v>0</v>
      </c>
    </row>
    <row r="190" spans="1:88" x14ac:dyDescent="0.25">
      <c r="A190" s="5"/>
      <c r="B190" s="5"/>
      <c r="C190" s="5"/>
      <c r="D190" s="5"/>
      <c r="E190" s="10">
        <f t="shared" si="16"/>
        <v>0</v>
      </c>
      <c r="F190" s="5"/>
      <c r="G190" s="3">
        <f t="shared" si="17"/>
        <v>0</v>
      </c>
      <c r="H190" s="25"/>
      <c r="I190" s="5"/>
      <c r="J190" s="5"/>
      <c r="AM190" s="9"/>
      <c r="AN190" s="5"/>
      <c r="AO190" s="5"/>
      <c r="AP190" s="5"/>
      <c r="AQ190" s="10">
        <f t="shared" si="18"/>
        <v>0</v>
      </c>
      <c r="AR190" s="5"/>
      <c r="AS190" s="3">
        <f t="shared" si="19"/>
        <v>0</v>
      </c>
      <c r="AT190" s="28"/>
      <c r="AU190" s="5"/>
      <c r="AV190" s="5"/>
      <c r="CE190" s="2"/>
      <c r="CF190" s="19"/>
      <c r="CG190" s="2">
        <f t="shared" si="14"/>
        <v>0</v>
      </c>
      <c r="CH190" s="2">
        <f t="shared" si="15"/>
        <v>0</v>
      </c>
      <c r="CI190" s="2"/>
      <c r="CJ190" s="20">
        <f t="shared" si="20"/>
        <v>0</v>
      </c>
    </row>
    <row r="191" spans="1:88" x14ac:dyDescent="0.25">
      <c r="A191" s="5"/>
      <c r="B191" s="5"/>
      <c r="C191" s="5"/>
      <c r="D191" s="5"/>
      <c r="E191" s="10">
        <f t="shared" si="16"/>
        <v>0</v>
      </c>
      <c r="F191" s="5"/>
      <c r="G191" s="3">
        <f t="shared" si="17"/>
        <v>0</v>
      </c>
      <c r="H191" s="25"/>
      <c r="I191" s="5"/>
      <c r="J191" s="5"/>
      <c r="AM191" s="9"/>
      <c r="AN191" s="5"/>
      <c r="AO191" s="5"/>
      <c r="AP191" s="5"/>
      <c r="AQ191" s="10">
        <f t="shared" si="18"/>
        <v>0</v>
      </c>
      <c r="AR191" s="5"/>
      <c r="AS191" s="3">
        <f t="shared" si="19"/>
        <v>0</v>
      </c>
      <c r="AT191" s="28"/>
      <c r="AU191" s="5"/>
      <c r="AV191" s="5"/>
      <c r="CE191" s="2"/>
      <c r="CF191" s="19"/>
      <c r="CG191" s="2">
        <f t="shared" si="14"/>
        <v>0</v>
      </c>
      <c r="CH191" s="2">
        <f t="shared" si="15"/>
        <v>0</v>
      </c>
      <c r="CI191" s="2"/>
      <c r="CJ191" s="20">
        <f t="shared" si="20"/>
        <v>0</v>
      </c>
    </row>
    <row r="192" spans="1:88" x14ac:dyDescent="0.25">
      <c r="A192" s="5"/>
      <c r="B192" s="5"/>
      <c r="C192" s="5"/>
      <c r="D192" s="5"/>
      <c r="E192" s="10">
        <f t="shared" si="16"/>
        <v>0</v>
      </c>
      <c r="F192" s="5"/>
      <c r="G192" s="3">
        <f t="shared" si="17"/>
        <v>0</v>
      </c>
      <c r="H192" s="25"/>
      <c r="I192" s="5"/>
      <c r="J192" s="5"/>
      <c r="AM192" s="9"/>
      <c r="AN192" s="5"/>
      <c r="AO192" s="5"/>
      <c r="AP192" s="5"/>
      <c r="AQ192" s="10">
        <f t="shared" si="18"/>
        <v>0</v>
      </c>
      <c r="AR192" s="5"/>
      <c r="AS192" s="3">
        <f t="shared" si="19"/>
        <v>0</v>
      </c>
      <c r="AT192" s="28"/>
      <c r="AU192" s="5"/>
      <c r="AV192" s="5"/>
      <c r="CE192" s="2"/>
      <c r="CF192" s="19"/>
      <c r="CG192" s="2">
        <f t="shared" si="14"/>
        <v>0</v>
      </c>
      <c r="CH192" s="2">
        <f t="shared" si="15"/>
        <v>0</v>
      </c>
      <c r="CI192" s="2"/>
      <c r="CJ192" s="20">
        <f t="shared" si="20"/>
        <v>0</v>
      </c>
    </row>
    <row r="193" spans="1:88" x14ac:dyDescent="0.25">
      <c r="A193" s="5"/>
      <c r="B193" s="5"/>
      <c r="C193" s="5"/>
      <c r="D193" s="5"/>
      <c r="E193" s="10">
        <f t="shared" si="16"/>
        <v>0</v>
      </c>
      <c r="F193" s="5"/>
      <c r="G193" s="3">
        <f t="shared" si="17"/>
        <v>0</v>
      </c>
      <c r="H193" s="25"/>
      <c r="I193" s="5"/>
      <c r="J193" s="5"/>
      <c r="AM193" s="9"/>
      <c r="AN193" s="5"/>
      <c r="AO193" s="5"/>
      <c r="AP193" s="5"/>
      <c r="AQ193" s="10">
        <f t="shared" si="18"/>
        <v>0</v>
      </c>
      <c r="AR193" s="5"/>
      <c r="AS193" s="3">
        <f t="shared" si="19"/>
        <v>0</v>
      </c>
      <c r="AT193" s="28"/>
      <c r="AU193" s="5"/>
      <c r="AV193" s="5"/>
      <c r="CE193" s="2"/>
      <c r="CF193" s="19"/>
      <c r="CG193" s="2">
        <f t="shared" si="14"/>
        <v>0</v>
      </c>
      <c r="CH193" s="2">
        <f t="shared" si="15"/>
        <v>0</v>
      </c>
      <c r="CI193" s="2"/>
      <c r="CJ193" s="20">
        <f t="shared" si="20"/>
        <v>0</v>
      </c>
    </row>
    <row r="194" spans="1:88" x14ac:dyDescent="0.25">
      <c r="A194" s="5"/>
      <c r="B194" s="5"/>
      <c r="C194" s="5"/>
      <c r="D194" s="5"/>
      <c r="E194" s="10">
        <f t="shared" si="16"/>
        <v>0</v>
      </c>
      <c r="F194" s="5"/>
      <c r="G194" s="3">
        <f t="shared" si="17"/>
        <v>0</v>
      </c>
      <c r="H194" s="25"/>
      <c r="I194" s="5"/>
      <c r="J194" s="5"/>
      <c r="AM194" s="9"/>
      <c r="AN194" s="5"/>
      <c r="AO194" s="5"/>
      <c r="AP194" s="5"/>
      <c r="AQ194" s="10">
        <f t="shared" si="18"/>
        <v>0</v>
      </c>
      <c r="AR194" s="5"/>
      <c r="AS194" s="3">
        <f t="shared" si="19"/>
        <v>0</v>
      </c>
      <c r="AT194" s="28"/>
      <c r="AU194" s="5"/>
      <c r="AV194" s="5"/>
      <c r="CE194" s="2"/>
      <c r="CF194" s="19"/>
      <c r="CG194" s="2">
        <f t="shared" si="14"/>
        <v>0</v>
      </c>
      <c r="CH194" s="2">
        <f t="shared" si="15"/>
        <v>0</v>
      </c>
      <c r="CI194" s="2"/>
      <c r="CJ194" s="20">
        <f t="shared" si="20"/>
        <v>0</v>
      </c>
    </row>
    <row r="195" spans="1:88" x14ac:dyDescent="0.25">
      <c r="A195" s="5"/>
      <c r="B195" s="5"/>
      <c r="C195" s="5"/>
      <c r="D195" s="5"/>
      <c r="E195" s="10">
        <f t="shared" si="16"/>
        <v>0</v>
      </c>
      <c r="F195" s="5"/>
      <c r="G195" s="3">
        <f t="shared" si="17"/>
        <v>0</v>
      </c>
      <c r="H195" s="25"/>
      <c r="I195" s="5"/>
      <c r="J195" s="5"/>
      <c r="AM195" s="9"/>
      <c r="AN195" s="5"/>
      <c r="AO195" s="5"/>
      <c r="AP195" s="5"/>
      <c r="AQ195" s="10">
        <f t="shared" si="18"/>
        <v>0</v>
      </c>
      <c r="AR195" s="5"/>
      <c r="AS195" s="3">
        <f t="shared" si="19"/>
        <v>0</v>
      </c>
      <c r="AT195" s="28"/>
      <c r="AU195" s="5"/>
      <c r="AV195" s="5"/>
      <c r="CE195" s="2"/>
      <c r="CF195" s="19"/>
      <c r="CG195" s="2">
        <f t="shared" si="14"/>
        <v>0</v>
      </c>
      <c r="CH195" s="2">
        <f t="shared" si="15"/>
        <v>0</v>
      </c>
      <c r="CI195" s="2"/>
      <c r="CJ195" s="20">
        <f t="shared" si="20"/>
        <v>0</v>
      </c>
    </row>
    <row r="196" spans="1:88" x14ac:dyDescent="0.25">
      <c r="A196" s="5"/>
      <c r="B196" s="5"/>
      <c r="C196" s="5"/>
      <c r="D196" s="5"/>
      <c r="E196" s="10">
        <f t="shared" si="16"/>
        <v>0</v>
      </c>
      <c r="F196" s="5"/>
      <c r="G196" s="3">
        <f t="shared" si="17"/>
        <v>0</v>
      </c>
      <c r="H196" s="25"/>
      <c r="I196" s="5"/>
      <c r="J196" s="5"/>
      <c r="AM196" s="9"/>
      <c r="AN196" s="5"/>
      <c r="AO196" s="5"/>
      <c r="AP196" s="5"/>
      <c r="AQ196" s="10">
        <f t="shared" si="18"/>
        <v>0</v>
      </c>
      <c r="AR196" s="5"/>
      <c r="AS196" s="3">
        <f t="shared" si="19"/>
        <v>0</v>
      </c>
      <c r="AT196" s="28"/>
      <c r="AU196" s="5"/>
      <c r="AV196" s="5"/>
      <c r="CE196" s="2"/>
      <c r="CF196" s="19"/>
      <c r="CG196" s="2">
        <f t="shared" si="14"/>
        <v>0</v>
      </c>
      <c r="CH196" s="2">
        <f t="shared" si="15"/>
        <v>0</v>
      </c>
      <c r="CI196" s="2"/>
      <c r="CJ196" s="20">
        <f t="shared" si="20"/>
        <v>0</v>
      </c>
    </row>
    <row r="197" spans="1:88" x14ac:dyDescent="0.25">
      <c r="A197" s="5"/>
      <c r="B197" s="5"/>
      <c r="C197" s="5"/>
      <c r="D197" s="5"/>
      <c r="E197" s="10">
        <f t="shared" si="16"/>
        <v>0</v>
      </c>
      <c r="F197" s="5"/>
      <c r="G197" s="3">
        <f t="shared" si="17"/>
        <v>0</v>
      </c>
      <c r="H197" s="25"/>
      <c r="I197" s="5"/>
      <c r="J197" s="5"/>
      <c r="AM197" s="9"/>
      <c r="AN197" s="5"/>
      <c r="AO197" s="5"/>
      <c r="AP197" s="5"/>
      <c r="AQ197" s="10">
        <f t="shared" si="18"/>
        <v>0</v>
      </c>
      <c r="AR197" s="5"/>
      <c r="AS197" s="3">
        <f t="shared" si="19"/>
        <v>0</v>
      </c>
      <c r="AT197" s="28"/>
      <c r="AU197" s="5"/>
      <c r="AV197" s="5"/>
      <c r="CE197" s="2"/>
      <c r="CF197" s="19"/>
      <c r="CG197" s="2">
        <f t="shared" ref="CG197:CG260" si="21">1/2*$CB$5*($CC$5)^2*$CD$5*CE197</f>
        <v>0</v>
      </c>
      <c r="CH197" s="2">
        <f t="shared" ref="CH197:CH260" si="22">1/2*$CB$5*($CC$5)^2*$CD$5*CF197</f>
        <v>0</v>
      </c>
      <c r="CI197" s="2"/>
      <c r="CJ197" s="20">
        <f t="shared" si="20"/>
        <v>0</v>
      </c>
    </row>
    <row r="198" spans="1:88" x14ac:dyDescent="0.25">
      <c r="A198" s="5"/>
      <c r="B198" s="5"/>
      <c r="C198" s="5"/>
      <c r="D198" s="5"/>
      <c r="E198" s="10">
        <f t="shared" ref="E198:E261" si="23">-(C198/$C$6)</f>
        <v>0</v>
      </c>
      <c r="F198" s="5"/>
      <c r="G198" s="3">
        <f t="shared" ref="G198:G261" si="24">1/2*$CB$5*($CC$5)^2*$CD$5*A198</f>
        <v>0</v>
      </c>
      <c r="H198" s="25"/>
      <c r="I198" s="5"/>
      <c r="J198" s="5"/>
      <c r="AM198" s="9"/>
      <c r="AN198" s="5"/>
      <c r="AO198" s="5"/>
      <c r="AP198" s="5"/>
      <c r="AQ198" s="10">
        <f t="shared" ref="AQ198:AQ261" si="25">-(AO198/$C$6)</f>
        <v>0</v>
      </c>
      <c r="AR198" s="5"/>
      <c r="AS198" s="3">
        <f t="shared" ref="AS198:AS261" si="26">1/2*$CB$5*($CC$5)^2*$CD$5*AM198</f>
        <v>0</v>
      </c>
      <c r="AT198" s="28"/>
      <c r="AU198" s="5"/>
      <c r="AV198" s="5"/>
      <c r="CE198" s="2"/>
      <c r="CF198" s="19"/>
      <c r="CG198" s="2">
        <f t="shared" si="21"/>
        <v>0</v>
      </c>
      <c r="CH198" s="2">
        <f t="shared" si="22"/>
        <v>0</v>
      </c>
      <c r="CI198" s="2"/>
      <c r="CJ198" s="20">
        <f t="shared" ref="CJ198:CJ261" si="27">-(CI198/$CI$5)</f>
        <v>0</v>
      </c>
    </row>
    <row r="199" spans="1:88" x14ac:dyDescent="0.25">
      <c r="A199" s="5"/>
      <c r="B199" s="5"/>
      <c r="C199" s="5"/>
      <c r="D199" s="5"/>
      <c r="E199" s="10">
        <f t="shared" si="23"/>
        <v>0</v>
      </c>
      <c r="F199" s="5"/>
      <c r="G199" s="3">
        <f t="shared" si="24"/>
        <v>0</v>
      </c>
      <c r="H199" s="25"/>
      <c r="I199" s="5"/>
      <c r="J199" s="5"/>
      <c r="AM199" s="9"/>
      <c r="AN199" s="5"/>
      <c r="AO199" s="5"/>
      <c r="AP199" s="5"/>
      <c r="AQ199" s="10">
        <f t="shared" si="25"/>
        <v>0</v>
      </c>
      <c r="AR199" s="5"/>
      <c r="AS199" s="3">
        <f t="shared" si="26"/>
        <v>0</v>
      </c>
      <c r="AT199" s="28"/>
      <c r="AU199" s="5"/>
      <c r="AV199" s="5"/>
      <c r="CE199" s="2"/>
      <c r="CF199" s="19"/>
      <c r="CG199" s="2">
        <f t="shared" si="21"/>
        <v>0</v>
      </c>
      <c r="CH199" s="2">
        <f t="shared" si="22"/>
        <v>0</v>
      </c>
      <c r="CI199" s="2"/>
      <c r="CJ199" s="20">
        <f t="shared" si="27"/>
        <v>0</v>
      </c>
    </row>
    <row r="200" spans="1:88" x14ac:dyDescent="0.25">
      <c r="A200" s="5"/>
      <c r="B200" s="5"/>
      <c r="C200" s="5"/>
      <c r="D200" s="5"/>
      <c r="E200" s="10">
        <f t="shared" si="23"/>
        <v>0</v>
      </c>
      <c r="F200" s="5"/>
      <c r="G200" s="3">
        <f t="shared" si="24"/>
        <v>0</v>
      </c>
      <c r="H200" s="25"/>
      <c r="I200" s="5"/>
      <c r="J200" s="5"/>
      <c r="AM200" s="9"/>
      <c r="AN200" s="5"/>
      <c r="AO200" s="5"/>
      <c r="AP200" s="5"/>
      <c r="AQ200" s="10">
        <f t="shared" si="25"/>
        <v>0</v>
      </c>
      <c r="AR200" s="5"/>
      <c r="AS200" s="3">
        <f t="shared" si="26"/>
        <v>0</v>
      </c>
      <c r="AT200" s="28"/>
      <c r="AU200" s="5"/>
      <c r="AV200" s="5"/>
      <c r="CE200" s="2"/>
      <c r="CF200" s="19"/>
      <c r="CG200" s="2">
        <f t="shared" si="21"/>
        <v>0</v>
      </c>
      <c r="CH200" s="2">
        <f t="shared" si="22"/>
        <v>0</v>
      </c>
      <c r="CI200" s="2"/>
      <c r="CJ200" s="20">
        <f t="shared" si="27"/>
        <v>0</v>
      </c>
    </row>
    <row r="201" spans="1:88" x14ac:dyDescent="0.25">
      <c r="A201" s="5"/>
      <c r="B201" s="5"/>
      <c r="C201" s="5"/>
      <c r="D201" s="5"/>
      <c r="E201" s="10">
        <f t="shared" si="23"/>
        <v>0</v>
      </c>
      <c r="F201" s="5"/>
      <c r="G201" s="3">
        <f t="shared" si="24"/>
        <v>0</v>
      </c>
      <c r="H201" s="25"/>
      <c r="I201" s="5"/>
      <c r="J201" s="5"/>
      <c r="AM201" s="9"/>
      <c r="AN201" s="5"/>
      <c r="AO201" s="5"/>
      <c r="AP201" s="5"/>
      <c r="AQ201" s="10">
        <f t="shared" si="25"/>
        <v>0</v>
      </c>
      <c r="AR201" s="5"/>
      <c r="AS201" s="3">
        <f t="shared" si="26"/>
        <v>0</v>
      </c>
      <c r="AT201" s="28"/>
      <c r="AU201" s="5"/>
      <c r="AV201" s="5"/>
      <c r="CE201" s="2"/>
      <c r="CF201" s="19"/>
      <c r="CG201" s="2">
        <f t="shared" si="21"/>
        <v>0</v>
      </c>
      <c r="CH201" s="2">
        <f t="shared" si="22"/>
        <v>0</v>
      </c>
      <c r="CI201" s="2"/>
      <c r="CJ201" s="20">
        <f t="shared" si="27"/>
        <v>0</v>
      </c>
    </row>
    <row r="202" spans="1:88" x14ac:dyDescent="0.25">
      <c r="A202" s="5"/>
      <c r="B202" s="5"/>
      <c r="C202" s="5"/>
      <c r="D202" s="5"/>
      <c r="E202" s="10">
        <f t="shared" si="23"/>
        <v>0</v>
      </c>
      <c r="F202" s="5"/>
      <c r="G202" s="3">
        <f t="shared" si="24"/>
        <v>0</v>
      </c>
      <c r="H202" s="25"/>
      <c r="I202" s="5"/>
      <c r="J202" s="5"/>
      <c r="AM202" s="9"/>
      <c r="AN202" s="5"/>
      <c r="AO202" s="5"/>
      <c r="AP202" s="5"/>
      <c r="AQ202" s="10">
        <f t="shared" si="25"/>
        <v>0</v>
      </c>
      <c r="AR202" s="5"/>
      <c r="AS202" s="3">
        <f t="shared" si="26"/>
        <v>0</v>
      </c>
      <c r="AT202" s="28"/>
      <c r="AU202" s="5"/>
      <c r="AV202" s="5"/>
      <c r="CE202" s="2"/>
      <c r="CF202" s="19"/>
      <c r="CG202" s="2">
        <f t="shared" si="21"/>
        <v>0</v>
      </c>
      <c r="CH202" s="2">
        <f t="shared" si="22"/>
        <v>0</v>
      </c>
      <c r="CI202" s="2"/>
      <c r="CJ202" s="20">
        <f t="shared" si="27"/>
        <v>0</v>
      </c>
    </row>
    <row r="203" spans="1:88" x14ac:dyDescent="0.25">
      <c r="A203" s="5"/>
      <c r="B203" s="5"/>
      <c r="C203" s="5"/>
      <c r="D203" s="5"/>
      <c r="E203" s="10">
        <f t="shared" si="23"/>
        <v>0</v>
      </c>
      <c r="F203" s="5"/>
      <c r="G203" s="3">
        <f t="shared" si="24"/>
        <v>0</v>
      </c>
      <c r="H203" s="25"/>
      <c r="I203" s="5"/>
      <c r="J203" s="5"/>
      <c r="AM203" s="9"/>
      <c r="AN203" s="5"/>
      <c r="AO203" s="5"/>
      <c r="AP203" s="5"/>
      <c r="AQ203" s="10">
        <f t="shared" si="25"/>
        <v>0</v>
      </c>
      <c r="AR203" s="5"/>
      <c r="AS203" s="3">
        <f t="shared" si="26"/>
        <v>0</v>
      </c>
      <c r="AT203" s="28"/>
      <c r="AU203" s="5"/>
      <c r="AV203" s="5"/>
      <c r="CE203" s="2"/>
      <c r="CF203" s="19"/>
      <c r="CG203" s="2">
        <f t="shared" si="21"/>
        <v>0</v>
      </c>
      <c r="CH203" s="2">
        <f t="shared" si="22"/>
        <v>0</v>
      </c>
      <c r="CI203" s="2"/>
      <c r="CJ203" s="20">
        <f t="shared" si="27"/>
        <v>0</v>
      </c>
    </row>
    <row r="204" spans="1:88" x14ac:dyDescent="0.25">
      <c r="A204" s="5"/>
      <c r="B204" s="5"/>
      <c r="C204" s="5"/>
      <c r="D204" s="5"/>
      <c r="E204" s="10">
        <f t="shared" si="23"/>
        <v>0</v>
      </c>
      <c r="F204" s="5"/>
      <c r="G204" s="3">
        <f t="shared" si="24"/>
        <v>0</v>
      </c>
      <c r="H204" s="25"/>
      <c r="I204" s="5"/>
      <c r="J204" s="5"/>
      <c r="AM204" s="9"/>
      <c r="AN204" s="5"/>
      <c r="AO204" s="5"/>
      <c r="AP204" s="5"/>
      <c r="AQ204" s="10">
        <f t="shared" si="25"/>
        <v>0</v>
      </c>
      <c r="AR204" s="5"/>
      <c r="AS204" s="3">
        <f t="shared" si="26"/>
        <v>0</v>
      </c>
      <c r="AT204" s="28"/>
      <c r="AU204" s="5"/>
      <c r="AV204" s="5"/>
      <c r="CE204" s="2"/>
      <c r="CF204" s="19"/>
      <c r="CG204" s="2">
        <f t="shared" si="21"/>
        <v>0</v>
      </c>
      <c r="CH204" s="2">
        <f t="shared" si="22"/>
        <v>0</v>
      </c>
      <c r="CI204" s="2"/>
      <c r="CJ204" s="20">
        <f t="shared" si="27"/>
        <v>0</v>
      </c>
    </row>
    <row r="205" spans="1:88" x14ac:dyDescent="0.25">
      <c r="A205" s="5"/>
      <c r="B205" s="5"/>
      <c r="C205" s="5"/>
      <c r="D205" s="5"/>
      <c r="E205" s="10">
        <f t="shared" si="23"/>
        <v>0</v>
      </c>
      <c r="F205" s="5"/>
      <c r="G205" s="3">
        <f t="shared" si="24"/>
        <v>0</v>
      </c>
      <c r="H205" s="25"/>
      <c r="I205" s="5"/>
      <c r="J205" s="5"/>
      <c r="AM205" s="9"/>
      <c r="AN205" s="5"/>
      <c r="AO205" s="5"/>
      <c r="AP205" s="5"/>
      <c r="AQ205" s="10">
        <f t="shared" si="25"/>
        <v>0</v>
      </c>
      <c r="AR205" s="5"/>
      <c r="AS205" s="3">
        <f t="shared" si="26"/>
        <v>0</v>
      </c>
      <c r="AT205" s="28"/>
      <c r="AU205" s="5"/>
      <c r="AV205" s="5"/>
      <c r="CE205" s="2"/>
      <c r="CF205" s="19"/>
      <c r="CG205" s="2">
        <f t="shared" si="21"/>
        <v>0</v>
      </c>
      <c r="CH205" s="2">
        <f t="shared" si="22"/>
        <v>0</v>
      </c>
      <c r="CI205" s="2"/>
      <c r="CJ205" s="20">
        <f t="shared" si="27"/>
        <v>0</v>
      </c>
    </row>
    <row r="206" spans="1:88" x14ac:dyDescent="0.25">
      <c r="A206" s="5"/>
      <c r="B206" s="5"/>
      <c r="C206" s="5"/>
      <c r="D206" s="5"/>
      <c r="E206" s="10">
        <f t="shared" si="23"/>
        <v>0</v>
      </c>
      <c r="F206" s="5"/>
      <c r="G206" s="3">
        <f t="shared" si="24"/>
        <v>0</v>
      </c>
      <c r="H206" s="25"/>
      <c r="I206" s="5"/>
      <c r="J206" s="5"/>
      <c r="AM206" s="9"/>
      <c r="AN206" s="5"/>
      <c r="AO206" s="5"/>
      <c r="AP206" s="5"/>
      <c r="AQ206" s="10">
        <f t="shared" si="25"/>
        <v>0</v>
      </c>
      <c r="AR206" s="5"/>
      <c r="AS206" s="3">
        <f t="shared" si="26"/>
        <v>0</v>
      </c>
      <c r="AT206" s="28"/>
      <c r="AU206" s="5"/>
      <c r="AV206" s="5"/>
      <c r="CE206" s="2"/>
      <c r="CF206" s="19"/>
      <c r="CG206" s="2">
        <f t="shared" si="21"/>
        <v>0</v>
      </c>
      <c r="CH206" s="2">
        <f t="shared" si="22"/>
        <v>0</v>
      </c>
      <c r="CI206" s="2"/>
      <c r="CJ206" s="20">
        <f t="shared" si="27"/>
        <v>0</v>
      </c>
    </row>
    <row r="207" spans="1:88" x14ac:dyDescent="0.25">
      <c r="A207" s="5"/>
      <c r="B207" s="5"/>
      <c r="C207" s="5"/>
      <c r="D207" s="5"/>
      <c r="E207" s="10">
        <f t="shared" si="23"/>
        <v>0</v>
      </c>
      <c r="F207" s="5"/>
      <c r="G207" s="3">
        <f t="shared" si="24"/>
        <v>0</v>
      </c>
      <c r="H207" s="25"/>
      <c r="I207" s="5"/>
      <c r="J207" s="5"/>
      <c r="AM207" s="9"/>
      <c r="AN207" s="5"/>
      <c r="AO207" s="5"/>
      <c r="AP207" s="5"/>
      <c r="AQ207" s="10">
        <f t="shared" si="25"/>
        <v>0</v>
      </c>
      <c r="AR207" s="5"/>
      <c r="AS207" s="3">
        <f t="shared" si="26"/>
        <v>0</v>
      </c>
      <c r="AT207" s="28"/>
      <c r="AU207" s="5"/>
      <c r="AV207" s="5"/>
      <c r="CE207" s="2"/>
      <c r="CF207" s="19"/>
      <c r="CG207" s="2">
        <f t="shared" si="21"/>
        <v>0</v>
      </c>
      <c r="CH207" s="2">
        <f t="shared" si="22"/>
        <v>0</v>
      </c>
      <c r="CI207" s="2"/>
      <c r="CJ207" s="20">
        <f t="shared" si="27"/>
        <v>0</v>
      </c>
    </row>
    <row r="208" spans="1:88" x14ac:dyDescent="0.25">
      <c r="A208" s="5"/>
      <c r="B208" s="5"/>
      <c r="C208" s="5"/>
      <c r="D208" s="5"/>
      <c r="E208" s="10">
        <f t="shared" si="23"/>
        <v>0</v>
      </c>
      <c r="F208" s="5"/>
      <c r="G208" s="3">
        <f t="shared" si="24"/>
        <v>0</v>
      </c>
      <c r="H208" s="25"/>
      <c r="I208" s="5"/>
      <c r="J208" s="5"/>
      <c r="AM208" s="9"/>
      <c r="AN208" s="5"/>
      <c r="AO208" s="5"/>
      <c r="AP208" s="5"/>
      <c r="AQ208" s="10">
        <f t="shared" si="25"/>
        <v>0</v>
      </c>
      <c r="AR208" s="5"/>
      <c r="AS208" s="3">
        <f t="shared" si="26"/>
        <v>0</v>
      </c>
      <c r="AT208" s="28"/>
      <c r="AU208" s="5"/>
      <c r="AV208" s="5"/>
      <c r="CE208" s="2"/>
      <c r="CF208" s="19"/>
      <c r="CG208" s="2">
        <f t="shared" si="21"/>
        <v>0</v>
      </c>
      <c r="CH208" s="2">
        <f t="shared" si="22"/>
        <v>0</v>
      </c>
      <c r="CI208" s="2"/>
      <c r="CJ208" s="20">
        <f t="shared" si="27"/>
        <v>0</v>
      </c>
    </row>
    <row r="209" spans="1:88" x14ac:dyDescent="0.25">
      <c r="A209" s="5"/>
      <c r="B209" s="5"/>
      <c r="C209" s="5"/>
      <c r="D209" s="5"/>
      <c r="E209" s="10">
        <f t="shared" si="23"/>
        <v>0</v>
      </c>
      <c r="F209" s="5"/>
      <c r="G209" s="3">
        <f t="shared" si="24"/>
        <v>0</v>
      </c>
      <c r="H209" s="25"/>
      <c r="I209" s="5"/>
      <c r="J209" s="5"/>
      <c r="AM209" s="9"/>
      <c r="AN209" s="5"/>
      <c r="AO209" s="5"/>
      <c r="AP209" s="5"/>
      <c r="AQ209" s="10">
        <f t="shared" si="25"/>
        <v>0</v>
      </c>
      <c r="AR209" s="5"/>
      <c r="AS209" s="3">
        <f t="shared" si="26"/>
        <v>0</v>
      </c>
      <c r="AT209" s="28"/>
      <c r="AU209" s="5"/>
      <c r="AV209" s="5"/>
      <c r="CE209" s="2"/>
      <c r="CF209" s="19"/>
      <c r="CG209" s="2">
        <f t="shared" si="21"/>
        <v>0</v>
      </c>
      <c r="CH209" s="2">
        <f t="shared" si="22"/>
        <v>0</v>
      </c>
      <c r="CI209" s="2"/>
      <c r="CJ209" s="20">
        <f t="shared" si="27"/>
        <v>0</v>
      </c>
    </row>
    <row r="210" spans="1:88" x14ac:dyDescent="0.25">
      <c r="A210" s="5"/>
      <c r="B210" s="5"/>
      <c r="C210" s="5"/>
      <c r="D210" s="5"/>
      <c r="E210" s="10">
        <f t="shared" si="23"/>
        <v>0</v>
      </c>
      <c r="F210" s="5"/>
      <c r="G210" s="3">
        <f t="shared" si="24"/>
        <v>0</v>
      </c>
      <c r="H210" s="25"/>
      <c r="I210" s="5"/>
      <c r="J210" s="5"/>
      <c r="AM210" s="9"/>
      <c r="AN210" s="5"/>
      <c r="AO210" s="5"/>
      <c r="AP210" s="5"/>
      <c r="AQ210" s="10">
        <f t="shared" si="25"/>
        <v>0</v>
      </c>
      <c r="AR210" s="5"/>
      <c r="AS210" s="3">
        <f t="shared" si="26"/>
        <v>0</v>
      </c>
      <c r="AT210" s="28"/>
      <c r="AU210" s="5"/>
      <c r="AV210" s="5"/>
      <c r="CE210" s="2"/>
      <c r="CF210" s="19"/>
      <c r="CG210" s="2">
        <f t="shared" si="21"/>
        <v>0</v>
      </c>
      <c r="CH210" s="2">
        <f t="shared" si="22"/>
        <v>0</v>
      </c>
      <c r="CI210" s="2"/>
      <c r="CJ210" s="20">
        <f t="shared" si="27"/>
        <v>0</v>
      </c>
    </row>
    <row r="211" spans="1:88" x14ac:dyDescent="0.25">
      <c r="A211" s="5"/>
      <c r="B211" s="5"/>
      <c r="C211" s="5"/>
      <c r="D211" s="5"/>
      <c r="E211" s="10">
        <f t="shared" si="23"/>
        <v>0</v>
      </c>
      <c r="F211" s="5"/>
      <c r="G211" s="3">
        <f t="shared" si="24"/>
        <v>0</v>
      </c>
      <c r="H211" s="25"/>
      <c r="I211" s="5"/>
      <c r="J211" s="5"/>
      <c r="AM211" s="9"/>
      <c r="AN211" s="5"/>
      <c r="AO211" s="5"/>
      <c r="AP211" s="5"/>
      <c r="AQ211" s="10">
        <f t="shared" si="25"/>
        <v>0</v>
      </c>
      <c r="AR211" s="5"/>
      <c r="AS211" s="3">
        <f t="shared" si="26"/>
        <v>0</v>
      </c>
      <c r="AT211" s="28"/>
      <c r="AU211" s="5"/>
      <c r="AV211" s="5"/>
      <c r="CE211" s="2"/>
      <c r="CF211" s="19"/>
      <c r="CG211" s="2">
        <f t="shared" si="21"/>
        <v>0</v>
      </c>
      <c r="CH211" s="2">
        <f t="shared" si="22"/>
        <v>0</v>
      </c>
      <c r="CI211" s="2"/>
      <c r="CJ211" s="20">
        <f t="shared" si="27"/>
        <v>0</v>
      </c>
    </row>
    <row r="212" spans="1:88" x14ac:dyDescent="0.25">
      <c r="A212" s="5"/>
      <c r="B212" s="5"/>
      <c r="C212" s="5"/>
      <c r="D212" s="5"/>
      <c r="E212" s="10">
        <f t="shared" si="23"/>
        <v>0</v>
      </c>
      <c r="F212" s="5"/>
      <c r="G212" s="3">
        <f t="shared" si="24"/>
        <v>0</v>
      </c>
      <c r="H212" s="25"/>
      <c r="I212" s="5"/>
      <c r="J212" s="5"/>
      <c r="AM212" s="9"/>
      <c r="AN212" s="5"/>
      <c r="AO212" s="5"/>
      <c r="AP212" s="5"/>
      <c r="AQ212" s="10">
        <f t="shared" si="25"/>
        <v>0</v>
      </c>
      <c r="AR212" s="5"/>
      <c r="AS212" s="3">
        <f t="shared" si="26"/>
        <v>0</v>
      </c>
      <c r="AT212" s="28"/>
      <c r="AU212" s="5"/>
      <c r="AV212" s="5"/>
      <c r="CE212" s="2"/>
      <c r="CF212" s="19"/>
      <c r="CG212" s="2">
        <f t="shared" si="21"/>
        <v>0</v>
      </c>
      <c r="CH212" s="2">
        <f t="shared" si="22"/>
        <v>0</v>
      </c>
      <c r="CI212" s="2"/>
      <c r="CJ212" s="20">
        <f t="shared" si="27"/>
        <v>0</v>
      </c>
    </row>
    <row r="213" spans="1:88" x14ac:dyDescent="0.25">
      <c r="A213" s="5"/>
      <c r="B213" s="5"/>
      <c r="C213" s="5"/>
      <c r="D213" s="5"/>
      <c r="E213" s="10">
        <f t="shared" si="23"/>
        <v>0</v>
      </c>
      <c r="F213" s="5"/>
      <c r="G213" s="3">
        <f t="shared" si="24"/>
        <v>0</v>
      </c>
      <c r="H213" s="25"/>
      <c r="I213" s="5"/>
      <c r="J213" s="5"/>
      <c r="AM213" s="9"/>
      <c r="AN213" s="5"/>
      <c r="AO213" s="5"/>
      <c r="AP213" s="5"/>
      <c r="AQ213" s="10">
        <f t="shared" si="25"/>
        <v>0</v>
      </c>
      <c r="AR213" s="5"/>
      <c r="AS213" s="3">
        <f t="shared" si="26"/>
        <v>0</v>
      </c>
      <c r="AT213" s="28"/>
      <c r="AU213" s="5"/>
      <c r="AV213" s="5"/>
      <c r="CE213" s="2"/>
      <c r="CF213" s="19"/>
      <c r="CG213" s="2">
        <f t="shared" si="21"/>
        <v>0</v>
      </c>
      <c r="CH213" s="2">
        <f t="shared" si="22"/>
        <v>0</v>
      </c>
      <c r="CI213" s="2"/>
      <c r="CJ213" s="20">
        <f t="shared" si="27"/>
        <v>0</v>
      </c>
    </row>
    <row r="214" spans="1:88" x14ac:dyDescent="0.25">
      <c r="A214" s="5"/>
      <c r="B214" s="5"/>
      <c r="C214" s="5"/>
      <c r="D214" s="5"/>
      <c r="E214" s="10">
        <f t="shared" si="23"/>
        <v>0</v>
      </c>
      <c r="F214" s="5"/>
      <c r="G214" s="3">
        <f t="shared" si="24"/>
        <v>0</v>
      </c>
      <c r="H214" s="25"/>
      <c r="I214" s="5"/>
      <c r="J214" s="5"/>
      <c r="AM214" s="9"/>
      <c r="AN214" s="5"/>
      <c r="AO214" s="5"/>
      <c r="AP214" s="5"/>
      <c r="AQ214" s="10">
        <f t="shared" si="25"/>
        <v>0</v>
      </c>
      <c r="AR214" s="5"/>
      <c r="AS214" s="3">
        <f t="shared" si="26"/>
        <v>0</v>
      </c>
      <c r="AT214" s="28"/>
      <c r="AU214" s="5"/>
      <c r="AV214" s="5"/>
      <c r="CE214" s="2"/>
      <c r="CF214" s="19"/>
      <c r="CG214" s="2">
        <f t="shared" si="21"/>
        <v>0</v>
      </c>
      <c r="CH214" s="2">
        <f t="shared" si="22"/>
        <v>0</v>
      </c>
      <c r="CI214" s="2"/>
      <c r="CJ214" s="20">
        <f t="shared" si="27"/>
        <v>0</v>
      </c>
    </row>
    <row r="215" spans="1:88" x14ac:dyDescent="0.25">
      <c r="A215" s="5"/>
      <c r="B215" s="5"/>
      <c r="C215" s="5"/>
      <c r="D215" s="5"/>
      <c r="E215" s="10">
        <f t="shared" si="23"/>
        <v>0</v>
      </c>
      <c r="F215" s="5"/>
      <c r="G215" s="3">
        <f t="shared" si="24"/>
        <v>0</v>
      </c>
      <c r="H215" s="25"/>
      <c r="I215" s="5"/>
      <c r="J215" s="5"/>
      <c r="AM215" s="9"/>
      <c r="AN215" s="5"/>
      <c r="AO215" s="5"/>
      <c r="AP215" s="5"/>
      <c r="AQ215" s="10">
        <f t="shared" si="25"/>
        <v>0</v>
      </c>
      <c r="AR215" s="5"/>
      <c r="AS215" s="3">
        <f t="shared" si="26"/>
        <v>0</v>
      </c>
      <c r="AT215" s="28"/>
      <c r="AU215" s="5"/>
      <c r="AV215" s="5"/>
      <c r="CE215" s="2"/>
      <c r="CF215" s="19"/>
      <c r="CG215" s="2">
        <f t="shared" si="21"/>
        <v>0</v>
      </c>
      <c r="CH215" s="2">
        <f t="shared" si="22"/>
        <v>0</v>
      </c>
      <c r="CI215" s="2"/>
      <c r="CJ215" s="20">
        <f t="shared" si="27"/>
        <v>0</v>
      </c>
    </row>
    <row r="216" spans="1:88" x14ac:dyDescent="0.25">
      <c r="A216" s="5"/>
      <c r="B216" s="5"/>
      <c r="C216" s="5"/>
      <c r="D216" s="5"/>
      <c r="E216" s="10">
        <f t="shared" si="23"/>
        <v>0</v>
      </c>
      <c r="F216" s="5"/>
      <c r="G216" s="3">
        <f t="shared" si="24"/>
        <v>0</v>
      </c>
      <c r="H216" s="25"/>
      <c r="I216" s="5"/>
      <c r="J216" s="5"/>
      <c r="AM216" s="9"/>
      <c r="AN216" s="5"/>
      <c r="AO216" s="5"/>
      <c r="AP216" s="5"/>
      <c r="AQ216" s="10">
        <f t="shared" si="25"/>
        <v>0</v>
      </c>
      <c r="AR216" s="5"/>
      <c r="AS216" s="3">
        <f t="shared" si="26"/>
        <v>0</v>
      </c>
      <c r="AT216" s="28"/>
      <c r="AU216" s="5"/>
      <c r="AV216" s="5"/>
      <c r="CE216" s="2"/>
      <c r="CF216" s="19"/>
      <c r="CG216" s="2">
        <f t="shared" si="21"/>
        <v>0</v>
      </c>
      <c r="CH216" s="2">
        <f t="shared" si="22"/>
        <v>0</v>
      </c>
      <c r="CI216" s="2"/>
      <c r="CJ216" s="20">
        <f t="shared" si="27"/>
        <v>0</v>
      </c>
    </row>
    <row r="217" spans="1:88" x14ac:dyDescent="0.25">
      <c r="A217" s="5"/>
      <c r="B217" s="5"/>
      <c r="C217" s="5"/>
      <c r="D217" s="5"/>
      <c r="E217" s="10">
        <f t="shared" si="23"/>
        <v>0</v>
      </c>
      <c r="F217" s="5"/>
      <c r="G217" s="3">
        <f t="shared" si="24"/>
        <v>0</v>
      </c>
      <c r="H217" s="25"/>
      <c r="I217" s="5"/>
      <c r="J217" s="5"/>
      <c r="AM217" s="9"/>
      <c r="AN217" s="5"/>
      <c r="AO217" s="5"/>
      <c r="AP217" s="5"/>
      <c r="AQ217" s="10">
        <f t="shared" si="25"/>
        <v>0</v>
      </c>
      <c r="AR217" s="5"/>
      <c r="AS217" s="3">
        <f t="shared" si="26"/>
        <v>0</v>
      </c>
      <c r="AT217" s="28"/>
      <c r="AU217" s="5"/>
      <c r="AV217" s="5"/>
      <c r="CE217" s="2"/>
      <c r="CF217" s="19"/>
      <c r="CG217" s="2">
        <f t="shared" si="21"/>
        <v>0</v>
      </c>
      <c r="CH217" s="2">
        <f t="shared" si="22"/>
        <v>0</v>
      </c>
      <c r="CI217" s="2"/>
      <c r="CJ217" s="20">
        <f t="shared" si="27"/>
        <v>0</v>
      </c>
    </row>
    <row r="218" spans="1:88" x14ac:dyDescent="0.25">
      <c r="A218" s="5"/>
      <c r="B218" s="5"/>
      <c r="C218" s="5"/>
      <c r="D218" s="5"/>
      <c r="E218" s="10">
        <f t="shared" si="23"/>
        <v>0</v>
      </c>
      <c r="F218" s="5"/>
      <c r="G218" s="3">
        <f t="shared" si="24"/>
        <v>0</v>
      </c>
      <c r="H218" s="25"/>
      <c r="I218" s="5"/>
      <c r="J218" s="5"/>
      <c r="AM218" s="9"/>
      <c r="AN218" s="5"/>
      <c r="AO218" s="5"/>
      <c r="AP218" s="5"/>
      <c r="AQ218" s="10">
        <f t="shared" si="25"/>
        <v>0</v>
      </c>
      <c r="AR218" s="5"/>
      <c r="AS218" s="3">
        <f t="shared" si="26"/>
        <v>0</v>
      </c>
      <c r="AT218" s="28"/>
      <c r="AU218" s="5"/>
      <c r="AV218" s="5"/>
      <c r="CE218" s="2"/>
      <c r="CF218" s="19"/>
      <c r="CG218" s="2">
        <f t="shared" si="21"/>
        <v>0</v>
      </c>
      <c r="CH218" s="2">
        <f t="shared" si="22"/>
        <v>0</v>
      </c>
      <c r="CI218" s="2"/>
      <c r="CJ218" s="20">
        <f t="shared" si="27"/>
        <v>0</v>
      </c>
    </row>
    <row r="219" spans="1:88" x14ac:dyDescent="0.25">
      <c r="A219" s="5"/>
      <c r="B219" s="5"/>
      <c r="C219" s="5"/>
      <c r="D219" s="5"/>
      <c r="E219" s="10">
        <f t="shared" si="23"/>
        <v>0</v>
      </c>
      <c r="F219" s="5"/>
      <c r="G219" s="3">
        <f t="shared" si="24"/>
        <v>0</v>
      </c>
      <c r="H219" s="25"/>
      <c r="I219" s="5"/>
      <c r="J219" s="5"/>
      <c r="AM219" s="9"/>
      <c r="AN219" s="5"/>
      <c r="AO219" s="5"/>
      <c r="AP219" s="5"/>
      <c r="AQ219" s="10">
        <f t="shared" si="25"/>
        <v>0</v>
      </c>
      <c r="AR219" s="5"/>
      <c r="AS219" s="3">
        <f t="shared" si="26"/>
        <v>0</v>
      </c>
      <c r="AT219" s="28"/>
      <c r="AU219" s="5"/>
      <c r="AV219" s="5"/>
      <c r="CE219" s="2"/>
      <c r="CF219" s="19"/>
      <c r="CG219" s="2">
        <f t="shared" si="21"/>
        <v>0</v>
      </c>
      <c r="CH219" s="2">
        <f t="shared" si="22"/>
        <v>0</v>
      </c>
      <c r="CI219" s="2"/>
      <c r="CJ219" s="20">
        <f t="shared" si="27"/>
        <v>0</v>
      </c>
    </row>
    <row r="220" spans="1:88" x14ac:dyDescent="0.25">
      <c r="A220" s="5"/>
      <c r="B220" s="5"/>
      <c r="C220" s="5"/>
      <c r="D220" s="5"/>
      <c r="E220" s="10">
        <f t="shared" si="23"/>
        <v>0</v>
      </c>
      <c r="F220" s="5"/>
      <c r="G220" s="3">
        <f t="shared" si="24"/>
        <v>0</v>
      </c>
      <c r="H220" s="25"/>
      <c r="I220" s="5"/>
      <c r="J220" s="5"/>
      <c r="AM220" s="9"/>
      <c r="AN220" s="5"/>
      <c r="AO220" s="5"/>
      <c r="AP220" s="5"/>
      <c r="AQ220" s="10">
        <f t="shared" si="25"/>
        <v>0</v>
      </c>
      <c r="AR220" s="5"/>
      <c r="AS220" s="3">
        <f t="shared" si="26"/>
        <v>0</v>
      </c>
      <c r="AT220" s="28"/>
      <c r="AU220" s="5"/>
      <c r="AV220" s="5"/>
      <c r="CE220" s="2"/>
      <c r="CF220" s="19"/>
      <c r="CG220" s="2">
        <f t="shared" si="21"/>
        <v>0</v>
      </c>
      <c r="CH220" s="2">
        <f t="shared" si="22"/>
        <v>0</v>
      </c>
      <c r="CI220" s="2"/>
      <c r="CJ220" s="20">
        <f t="shared" si="27"/>
        <v>0</v>
      </c>
    </row>
    <row r="221" spans="1:88" x14ac:dyDescent="0.25">
      <c r="A221" s="5"/>
      <c r="B221" s="5"/>
      <c r="C221" s="5"/>
      <c r="D221" s="5"/>
      <c r="E221" s="10">
        <f t="shared" si="23"/>
        <v>0</v>
      </c>
      <c r="F221" s="5"/>
      <c r="G221" s="3">
        <f t="shared" si="24"/>
        <v>0</v>
      </c>
      <c r="H221" s="25"/>
      <c r="I221" s="5"/>
      <c r="J221" s="5"/>
      <c r="AM221" s="9"/>
      <c r="AN221" s="5"/>
      <c r="AO221" s="5"/>
      <c r="AP221" s="5"/>
      <c r="AQ221" s="10">
        <f t="shared" si="25"/>
        <v>0</v>
      </c>
      <c r="AR221" s="5"/>
      <c r="AS221" s="3">
        <f t="shared" si="26"/>
        <v>0</v>
      </c>
      <c r="AT221" s="28"/>
      <c r="AU221" s="5"/>
      <c r="AV221" s="5"/>
      <c r="CE221" s="2"/>
      <c r="CF221" s="19"/>
      <c r="CG221" s="2">
        <f t="shared" si="21"/>
        <v>0</v>
      </c>
      <c r="CH221" s="2">
        <f t="shared" si="22"/>
        <v>0</v>
      </c>
      <c r="CI221" s="2"/>
      <c r="CJ221" s="20">
        <f t="shared" si="27"/>
        <v>0</v>
      </c>
    </row>
    <row r="222" spans="1:88" x14ac:dyDescent="0.25">
      <c r="A222" s="5"/>
      <c r="B222" s="5"/>
      <c r="C222" s="5"/>
      <c r="D222" s="5"/>
      <c r="E222" s="10">
        <f t="shared" si="23"/>
        <v>0</v>
      </c>
      <c r="F222" s="5"/>
      <c r="G222" s="3">
        <f t="shared" si="24"/>
        <v>0</v>
      </c>
      <c r="H222" s="25"/>
      <c r="I222" s="5"/>
      <c r="J222" s="5"/>
      <c r="AM222" s="9"/>
      <c r="AN222" s="5"/>
      <c r="AO222" s="5"/>
      <c r="AP222" s="5"/>
      <c r="AQ222" s="10">
        <f t="shared" si="25"/>
        <v>0</v>
      </c>
      <c r="AR222" s="5"/>
      <c r="AS222" s="3">
        <f t="shared" si="26"/>
        <v>0</v>
      </c>
      <c r="AT222" s="28"/>
      <c r="AU222" s="5"/>
      <c r="AV222" s="5"/>
      <c r="CE222" s="2"/>
      <c r="CF222" s="19"/>
      <c r="CG222" s="2">
        <f t="shared" si="21"/>
        <v>0</v>
      </c>
      <c r="CH222" s="2">
        <f t="shared" si="22"/>
        <v>0</v>
      </c>
      <c r="CI222" s="2"/>
      <c r="CJ222" s="20">
        <f t="shared" si="27"/>
        <v>0</v>
      </c>
    </row>
    <row r="223" spans="1:88" x14ac:dyDescent="0.25">
      <c r="A223" s="5"/>
      <c r="B223" s="5"/>
      <c r="C223" s="5"/>
      <c r="D223" s="5"/>
      <c r="E223" s="10">
        <f t="shared" si="23"/>
        <v>0</v>
      </c>
      <c r="F223" s="5"/>
      <c r="G223" s="3">
        <f t="shared" si="24"/>
        <v>0</v>
      </c>
      <c r="H223" s="25"/>
      <c r="I223" s="5"/>
      <c r="J223" s="5"/>
      <c r="AM223" s="9"/>
      <c r="AN223" s="5"/>
      <c r="AO223" s="5"/>
      <c r="AP223" s="5"/>
      <c r="AQ223" s="10">
        <f t="shared" si="25"/>
        <v>0</v>
      </c>
      <c r="AR223" s="5"/>
      <c r="AS223" s="3">
        <f t="shared" si="26"/>
        <v>0</v>
      </c>
      <c r="AT223" s="28"/>
      <c r="AU223" s="5"/>
      <c r="AV223" s="5"/>
      <c r="CE223" s="2"/>
      <c r="CF223" s="19"/>
      <c r="CG223" s="2">
        <f t="shared" si="21"/>
        <v>0</v>
      </c>
      <c r="CH223" s="2">
        <f t="shared" si="22"/>
        <v>0</v>
      </c>
      <c r="CI223" s="2"/>
      <c r="CJ223" s="20">
        <f t="shared" si="27"/>
        <v>0</v>
      </c>
    </row>
    <row r="224" spans="1:88" x14ac:dyDescent="0.25">
      <c r="A224" s="5"/>
      <c r="B224" s="5"/>
      <c r="C224" s="5"/>
      <c r="D224" s="5"/>
      <c r="E224" s="10">
        <f t="shared" si="23"/>
        <v>0</v>
      </c>
      <c r="F224" s="5"/>
      <c r="G224" s="3">
        <f t="shared" si="24"/>
        <v>0</v>
      </c>
      <c r="H224" s="25"/>
      <c r="I224" s="5"/>
      <c r="J224" s="5"/>
      <c r="AM224" s="9"/>
      <c r="AN224" s="5"/>
      <c r="AO224" s="5"/>
      <c r="AP224" s="5"/>
      <c r="AQ224" s="10">
        <f t="shared" si="25"/>
        <v>0</v>
      </c>
      <c r="AR224" s="5"/>
      <c r="AS224" s="3">
        <f t="shared" si="26"/>
        <v>0</v>
      </c>
      <c r="AT224" s="28"/>
      <c r="AU224" s="5"/>
      <c r="AV224" s="5"/>
      <c r="CE224" s="2"/>
      <c r="CF224" s="19"/>
      <c r="CG224" s="2">
        <f t="shared" si="21"/>
        <v>0</v>
      </c>
      <c r="CH224" s="2">
        <f t="shared" si="22"/>
        <v>0</v>
      </c>
      <c r="CI224" s="2"/>
      <c r="CJ224" s="20">
        <f t="shared" si="27"/>
        <v>0</v>
      </c>
    </row>
    <row r="225" spans="1:88" x14ac:dyDescent="0.25">
      <c r="A225" s="5"/>
      <c r="B225" s="5"/>
      <c r="C225" s="5"/>
      <c r="D225" s="5"/>
      <c r="E225" s="10">
        <f t="shared" si="23"/>
        <v>0</v>
      </c>
      <c r="F225" s="5"/>
      <c r="G225" s="3">
        <f t="shared" si="24"/>
        <v>0</v>
      </c>
      <c r="H225" s="25"/>
      <c r="I225" s="5"/>
      <c r="J225" s="5"/>
      <c r="AM225" s="9"/>
      <c r="AN225" s="5"/>
      <c r="AO225" s="5"/>
      <c r="AP225" s="5"/>
      <c r="AQ225" s="10">
        <f t="shared" si="25"/>
        <v>0</v>
      </c>
      <c r="AR225" s="5"/>
      <c r="AS225" s="3">
        <f t="shared" si="26"/>
        <v>0</v>
      </c>
      <c r="AT225" s="28"/>
      <c r="AU225" s="5"/>
      <c r="AV225" s="5"/>
      <c r="CE225" s="2"/>
      <c r="CF225" s="19"/>
      <c r="CG225" s="2">
        <f t="shared" si="21"/>
        <v>0</v>
      </c>
      <c r="CH225" s="2">
        <f t="shared" si="22"/>
        <v>0</v>
      </c>
      <c r="CI225" s="2"/>
      <c r="CJ225" s="20">
        <f t="shared" si="27"/>
        <v>0</v>
      </c>
    </row>
    <row r="226" spans="1:88" x14ac:dyDescent="0.25">
      <c r="A226" s="5"/>
      <c r="B226" s="5"/>
      <c r="C226" s="5"/>
      <c r="D226" s="5"/>
      <c r="E226" s="10">
        <f t="shared" si="23"/>
        <v>0</v>
      </c>
      <c r="F226" s="5"/>
      <c r="G226" s="3">
        <f t="shared" si="24"/>
        <v>0</v>
      </c>
      <c r="H226" s="25"/>
      <c r="I226" s="5"/>
      <c r="J226" s="5"/>
      <c r="AM226" s="9"/>
      <c r="AN226" s="5"/>
      <c r="AO226" s="5"/>
      <c r="AP226" s="5"/>
      <c r="AQ226" s="10">
        <f t="shared" si="25"/>
        <v>0</v>
      </c>
      <c r="AR226" s="5"/>
      <c r="AS226" s="3">
        <f t="shared" si="26"/>
        <v>0</v>
      </c>
      <c r="AT226" s="28"/>
      <c r="AU226" s="5"/>
      <c r="AV226" s="5"/>
      <c r="CE226" s="2"/>
      <c r="CF226" s="19"/>
      <c r="CG226" s="2">
        <f t="shared" si="21"/>
        <v>0</v>
      </c>
      <c r="CH226" s="2">
        <f t="shared" si="22"/>
        <v>0</v>
      </c>
      <c r="CI226" s="2"/>
      <c r="CJ226" s="20">
        <f t="shared" si="27"/>
        <v>0</v>
      </c>
    </row>
    <row r="227" spans="1:88" x14ac:dyDescent="0.25">
      <c r="A227" s="5"/>
      <c r="B227" s="5"/>
      <c r="C227" s="5"/>
      <c r="D227" s="5"/>
      <c r="E227" s="10">
        <f t="shared" si="23"/>
        <v>0</v>
      </c>
      <c r="F227" s="5"/>
      <c r="G227" s="3">
        <f t="shared" si="24"/>
        <v>0</v>
      </c>
      <c r="H227" s="25"/>
      <c r="I227" s="5"/>
      <c r="J227" s="5"/>
      <c r="AM227" s="9"/>
      <c r="AN227" s="5"/>
      <c r="AO227" s="5"/>
      <c r="AP227" s="5"/>
      <c r="AQ227" s="10">
        <f t="shared" si="25"/>
        <v>0</v>
      </c>
      <c r="AR227" s="5"/>
      <c r="AS227" s="3">
        <f t="shared" si="26"/>
        <v>0</v>
      </c>
      <c r="AT227" s="28"/>
      <c r="AU227" s="5"/>
      <c r="AV227" s="5"/>
      <c r="CE227" s="2"/>
      <c r="CF227" s="19"/>
      <c r="CG227" s="2">
        <f t="shared" si="21"/>
        <v>0</v>
      </c>
      <c r="CH227" s="2">
        <f t="shared" si="22"/>
        <v>0</v>
      </c>
      <c r="CI227" s="2"/>
      <c r="CJ227" s="20">
        <f t="shared" si="27"/>
        <v>0</v>
      </c>
    </row>
    <row r="228" spans="1:88" x14ac:dyDescent="0.25">
      <c r="A228" s="5"/>
      <c r="B228" s="5"/>
      <c r="C228" s="5"/>
      <c r="D228" s="5"/>
      <c r="E228" s="10">
        <f t="shared" si="23"/>
        <v>0</v>
      </c>
      <c r="F228" s="5"/>
      <c r="G228" s="3">
        <f t="shared" si="24"/>
        <v>0</v>
      </c>
      <c r="H228" s="25"/>
      <c r="I228" s="5"/>
      <c r="J228" s="5"/>
      <c r="AM228" s="9"/>
      <c r="AN228" s="5"/>
      <c r="AO228" s="5"/>
      <c r="AP228" s="5"/>
      <c r="AQ228" s="10">
        <f t="shared" si="25"/>
        <v>0</v>
      </c>
      <c r="AR228" s="5"/>
      <c r="AS228" s="3">
        <f t="shared" si="26"/>
        <v>0</v>
      </c>
      <c r="AT228" s="28"/>
      <c r="AU228" s="5"/>
      <c r="AV228" s="5"/>
      <c r="CE228" s="2"/>
      <c r="CF228" s="19"/>
      <c r="CG228" s="2">
        <f t="shared" si="21"/>
        <v>0</v>
      </c>
      <c r="CH228" s="2">
        <f t="shared" si="22"/>
        <v>0</v>
      </c>
      <c r="CI228" s="2"/>
      <c r="CJ228" s="20">
        <f t="shared" si="27"/>
        <v>0</v>
      </c>
    </row>
    <row r="229" spans="1:88" x14ac:dyDescent="0.25">
      <c r="A229" s="5"/>
      <c r="B229" s="5"/>
      <c r="C229" s="5"/>
      <c r="D229" s="5"/>
      <c r="E229" s="10">
        <f t="shared" si="23"/>
        <v>0</v>
      </c>
      <c r="F229" s="5"/>
      <c r="G229" s="3">
        <f t="shared" si="24"/>
        <v>0</v>
      </c>
      <c r="H229" s="25"/>
      <c r="I229" s="5"/>
      <c r="J229" s="5"/>
      <c r="AM229" s="9"/>
      <c r="AN229" s="5"/>
      <c r="AO229" s="5"/>
      <c r="AP229" s="5"/>
      <c r="AQ229" s="10">
        <f t="shared" si="25"/>
        <v>0</v>
      </c>
      <c r="AR229" s="5"/>
      <c r="AS229" s="3">
        <f t="shared" si="26"/>
        <v>0</v>
      </c>
      <c r="AT229" s="28"/>
      <c r="AU229" s="5"/>
      <c r="AV229" s="5"/>
      <c r="CE229" s="2"/>
      <c r="CF229" s="19"/>
      <c r="CG229" s="2">
        <f t="shared" si="21"/>
        <v>0</v>
      </c>
      <c r="CH229" s="2">
        <f t="shared" si="22"/>
        <v>0</v>
      </c>
      <c r="CI229" s="2"/>
      <c r="CJ229" s="20">
        <f t="shared" si="27"/>
        <v>0</v>
      </c>
    </row>
    <row r="230" spans="1:88" x14ac:dyDescent="0.25">
      <c r="A230" s="5"/>
      <c r="B230" s="5"/>
      <c r="C230" s="5"/>
      <c r="D230" s="5"/>
      <c r="E230" s="10">
        <f t="shared" si="23"/>
        <v>0</v>
      </c>
      <c r="F230" s="5"/>
      <c r="G230" s="3">
        <f t="shared" si="24"/>
        <v>0</v>
      </c>
      <c r="H230" s="25"/>
      <c r="I230" s="5"/>
      <c r="J230" s="5"/>
      <c r="AM230" s="9"/>
      <c r="AN230" s="5"/>
      <c r="AO230" s="5"/>
      <c r="AP230" s="5"/>
      <c r="AQ230" s="10">
        <f t="shared" si="25"/>
        <v>0</v>
      </c>
      <c r="AR230" s="5"/>
      <c r="AS230" s="3">
        <f t="shared" si="26"/>
        <v>0</v>
      </c>
      <c r="AT230" s="28"/>
      <c r="AU230" s="5"/>
      <c r="AV230" s="5"/>
      <c r="CE230" s="2"/>
      <c r="CF230" s="19"/>
      <c r="CG230" s="2">
        <f t="shared" si="21"/>
        <v>0</v>
      </c>
      <c r="CH230" s="2">
        <f t="shared" si="22"/>
        <v>0</v>
      </c>
      <c r="CI230" s="2"/>
      <c r="CJ230" s="20">
        <f t="shared" si="27"/>
        <v>0</v>
      </c>
    </row>
    <row r="231" spans="1:88" x14ac:dyDescent="0.25">
      <c r="A231" s="5"/>
      <c r="B231" s="5"/>
      <c r="C231" s="5"/>
      <c r="D231" s="5"/>
      <c r="E231" s="10">
        <f t="shared" si="23"/>
        <v>0</v>
      </c>
      <c r="F231" s="5"/>
      <c r="G231" s="3">
        <f t="shared" si="24"/>
        <v>0</v>
      </c>
      <c r="H231" s="25"/>
      <c r="I231" s="5"/>
      <c r="J231" s="5"/>
      <c r="AM231" s="9"/>
      <c r="AN231" s="5"/>
      <c r="AO231" s="5"/>
      <c r="AP231" s="5"/>
      <c r="AQ231" s="10">
        <f t="shared" si="25"/>
        <v>0</v>
      </c>
      <c r="AR231" s="5"/>
      <c r="AS231" s="3">
        <f t="shared" si="26"/>
        <v>0</v>
      </c>
      <c r="AT231" s="28"/>
      <c r="AU231" s="5"/>
      <c r="AV231" s="5"/>
      <c r="CE231" s="2"/>
      <c r="CF231" s="19"/>
      <c r="CG231" s="2">
        <f t="shared" si="21"/>
        <v>0</v>
      </c>
      <c r="CH231" s="2">
        <f t="shared" si="22"/>
        <v>0</v>
      </c>
      <c r="CI231" s="2"/>
      <c r="CJ231" s="20">
        <f t="shared" si="27"/>
        <v>0</v>
      </c>
    </row>
    <row r="232" spans="1:88" x14ac:dyDescent="0.25">
      <c r="A232" s="5"/>
      <c r="B232" s="5"/>
      <c r="C232" s="5"/>
      <c r="D232" s="5"/>
      <c r="E232" s="10">
        <f t="shared" si="23"/>
        <v>0</v>
      </c>
      <c r="F232" s="5"/>
      <c r="G232" s="3">
        <f t="shared" si="24"/>
        <v>0</v>
      </c>
      <c r="H232" s="25"/>
      <c r="I232" s="5"/>
      <c r="J232" s="5"/>
      <c r="AM232" s="9"/>
      <c r="AN232" s="5"/>
      <c r="AO232" s="5"/>
      <c r="AP232" s="5"/>
      <c r="AQ232" s="10">
        <f t="shared" si="25"/>
        <v>0</v>
      </c>
      <c r="AR232" s="5"/>
      <c r="AS232" s="3">
        <f t="shared" si="26"/>
        <v>0</v>
      </c>
      <c r="AT232" s="28"/>
      <c r="AU232" s="5"/>
      <c r="AV232" s="5"/>
      <c r="CE232" s="2"/>
      <c r="CF232" s="19"/>
      <c r="CG232" s="2">
        <f t="shared" si="21"/>
        <v>0</v>
      </c>
      <c r="CH232" s="2">
        <f t="shared" si="22"/>
        <v>0</v>
      </c>
      <c r="CI232" s="2"/>
      <c r="CJ232" s="20">
        <f t="shared" si="27"/>
        <v>0</v>
      </c>
    </row>
    <row r="233" spans="1:88" x14ac:dyDescent="0.25">
      <c r="A233" s="5"/>
      <c r="B233" s="5"/>
      <c r="C233" s="5"/>
      <c r="D233" s="5"/>
      <c r="E233" s="10">
        <f t="shared" si="23"/>
        <v>0</v>
      </c>
      <c r="F233" s="5"/>
      <c r="G233" s="3">
        <f t="shared" si="24"/>
        <v>0</v>
      </c>
      <c r="H233" s="25"/>
      <c r="I233" s="5"/>
      <c r="J233" s="5"/>
      <c r="AM233" s="9"/>
      <c r="AN233" s="5"/>
      <c r="AO233" s="5"/>
      <c r="AP233" s="5"/>
      <c r="AQ233" s="10">
        <f t="shared" si="25"/>
        <v>0</v>
      </c>
      <c r="AR233" s="5"/>
      <c r="AS233" s="3">
        <f t="shared" si="26"/>
        <v>0</v>
      </c>
      <c r="AT233" s="28"/>
      <c r="AU233" s="5"/>
      <c r="AV233" s="5"/>
      <c r="CE233" s="2"/>
      <c r="CF233" s="19"/>
      <c r="CG233" s="2">
        <f t="shared" si="21"/>
        <v>0</v>
      </c>
      <c r="CH233" s="2">
        <f t="shared" si="22"/>
        <v>0</v>
      </c>
      <c r="CI233" s="2"/>
      <c r="CJ233" s="20">
        <f t="shared" si="27"/>
        <v>0</v>
      </c>
    </row>
    <row r="234" spans="1:88" x14ac:dyDescent="0.25">
      <c r="A234" s="5"/>
      <c r="B234" s="5"/>
      <c r="C234" s="5"/>
      <c r="D234" s="5"/>
      <c r="E234" s="10">
        <f t="shared" si="23"/>
        <v>0</v>
      </c>
      <c r="F234" s="5"/>
      <c r="G234" s="3">
        <f t="shared" si="24"/>
        <v>0</v>
      </c>
      <c r="H234" s="25"/>
      <c r="I234" s="5"/>
      <c r="J234" s="5"/>
      <c r="AM234" s="9"/>
      <c r="AN234" s="5"/>
      <c r="AO234" s="5"/>
      <c r="AP234" s="5"/>
      <c r="AQ234" s="10">
        <f t="shared" si="25"/>
        <v>0</v>
      </c>
      <c r="AR234" s="5"/>
      <c r="AS234" s="3">
        <f t="shared" si="26"/>
        <v>0</v>
      </c>
      <c r="AT234" s="28"/>
      <c r="AU234" s="5"/>
      <c r="AV234" s="5"/>
      <c r="CE234" s="2"/>
      <c r="CF234" s="19"/>
      <c r="CG234" s="2">
        <f t="shared" si="21"/>
        <v>0</v>
      </c>
      <c r="CH234" s="2">
        <f t="shared" si="22"/>
        <v>0</v>
      </c>
      <c r="CI234" s="2"/>
      <c r="CJ234" s="20">
        <f t="shared" si="27"/>
        <v>0</v>
      </c>
    </row>
    <row r="235" spans="1:88" x14ac:dyDescent="0.25">
      <c r="A235" s="5"/>
      <c r="B235" s="5"/>
      <c r="C235" s="5"/>
      <c r="D235" s="5"/>
      <c r="E235" s="10">
        <f t="shared" si="23"/>
        <v>0</v>
      </c>
      <c r="F235" s="5"/>
      <c r="G235" s="3">
        <f t="shared" si="24"/>
        <v>0</v>
      </c>
      <c r="H235" s="25"/>
      <c r="I235" s="5"/>
      <c r="J235" s="5"/>
      <c r="AM235" s="9"/>
      <c r="AN235" s="5"/>
      <c r="AO235" s="5"/>
      <c r="AP235" s="5"/>
      <c r="AQ235" s="10">
        <f t="shared" si="25"/>
        <v>0</v>
      </c>
      <c r="AR235" s="5"/>
      <c r="AS235" s="3">
        <f t="shared" si="26"/>
        <v>0</v>
      </c>
      <c r="AT235" s="28"/>
      <c r="AU235" s="5"/>
      <c r="AV235" s="5"/>
      <c r="CE235" s="2"/>
      <c r="CF235" s="19"/>
      <c r="CG235" s="2">
        <f t="shared" si="21"/>
        <v>0</v>
      </c>
      <c r="CH235" s="2">
        <f t="shared" si="22"/>
        <v>0</v>
      </c>
      <c r="CI235" s="2"/>
      <c r="CJ235" s="20">
        <f t="shared" si="27"/>
        <v>0</v>
      </c>
    </row>
    <row r="236" spans="1:88" x14ac:dyDescent="0.25">
      <c r="A236" s="5"/>
      <c r="B236" s="5"/>
      <c r="C236" s="5"/>
      <c r="D236" s="5"/>
      <c r="E236" s="10">
        <f t="shared" si="23"/>
        <v>0</v>
      </c>
      <c r="F236" s="5"/>
      <c r="G236" s="3">
        <f t="shared" si="24"/>
        <v>0</v>
      </c>
      <c r="H236" s="25"/>
      <c r="I236" s="5"/>
      <c r="J236" s="5"/>
      <c r="AM236" s="9"/>
      <c r="AN236" s="5"/>
      <c r="AO236" s="5"/>
      <c r="AP236" s="5"/>
      <c r="AQ236" s="10">
        <f t="shared" si="25"/>
        <v>0</v>
      </c>
      <c r="AR236" s="5"/>
      <c r="AS236" s="3">
        <f t="shared" si="26"/>
        <v>0</v>
      </c>
      <c r="AT236" s="28"/>
      <c r="AU236" s="5"/>
      <c r="AV236" s="5"/>
      <c r="CE236" s="2"/>
      <c r="CF236" s="19"/>
      <c r="CG236" s="2">
        <f t="shared" si="21"/>
        <v>0</v>
      </c>
      <c r="CH236" s="2">
        <f t="shared" si="22"/>
        <v>0</v>
      </c>
      <c r="CI236" s="2"/>
      <c r="CJ236" s="20">
        <f t="shared" si="27"/>
        <v>0</v>
      </c>
    </row>
    <row r="237" spans="1:88" x14ac:dyDescent="0.25">
      <c r="A237" s="5"/>
      <c r="B237" s="5"/>
      <c r="C237" s="5"/>
      <c r="D237" s="5"/>
      <c r="E237" s="10">
        <f t="shared" si="23"/>
        <v>0</v>
      </c>
      <c r="F237" s="5"/>
      <c r="G237" s="3">
        <f t="shared" si="24"/>
        <v>0</v>
      </c>
      <c r="H237" s="25"/>
      <c r="I237" s="5"/>
      <c r="J237" s="5"/>
      <c r="AM237" s="9"/>
      <c r="AN237" s="5"/>
      <c r="AO237" s="5"/>
      <c r="AP237" s="5"/>
      <c r="AQ237" s="10">
        <f t="shared" si="25"/>
        <v>0</v>
      </c>
      <c r="AR237" s="5"/>
      <c r="AS237" s="3">
        <f t="shared" si="26"/>
        <v>0</v>
      </c>
      <c r="AT237" s="28"/>
      <c r="AU237" s="5"/>
      <c r="AV237" s="5"/>
      <c r="CE237" s="2"/>
      <c r="CF237" s="19"/>
      <c r="CG237" s="2">
        <f t="shared" si="21"/>
        <v>0</v>
      </c>
      <c r="CH237" s="2">
        <f t="shared" si="22"/>
        <v>0</v>
      </c>
      <c r="CI237" s="2"/>
      <c r="CJ237" s="20">
        <f t="shared" si="27"/>
        <v>0</v>
      </c>
    </row>
    <row r="238" spans="1:88" x14ac:dyDescent="0.25">
      <c r="A238" s="5"/>
      <c r="B238" s="5"/>
      <c r="C238" s="5"/>
      <c r="D238" s="5"/>
      <c r="E238" s="10">
        <f t="shared" si="23"/>
        <v>0</v>
      </c>
      <c r="F238" s="5"/>
      <c r="G238" s="3">
        <f t="shared" si="24"/>
        <v>0</v>
      </c>
      <c r="H238" s="25"/>
      <c r="I238" s="5"/>
      <c r="J238" s="5"/>
      <c r="AM238" s="9"/>
      <c r="AN238" s="5"/>
      <c r="AO238" s="5"/>
      <c r="AP238" s="5"/>
      <c r="AQ238" s="10">
        <f t="shared" si="25"/>
        <v>0</v>
      </c>
      <c r="AR238" s="5"/>
      <c r="AS238" s="3">
        <f t="shared" si="26"/>
        <v>0</v>
      </c>
      <c r="AT238" s="28"/>
      <c r="AU238" s="5"/>
      <c r="AV238" s="5"/>
      <c r="CE238" s="2"/>
      <c r="CF238" s="19"/>
      <c r="CG238" s="2">
        <f t="shared" si="21"/>
        <v>0</v>
      </c>
      <c r="CH238" s="2">
        <f t="shared" si="22"/>
        <v>0</v>
      </c>
      <c r="CI238" s="2"/>
      <c r="CJ238" s="20">
        <f t="shared" si="27"/>
        <v>0</v>
      </c>
    </row>
    <row r="239" spans="1:88" x14ac:dyDescent="0.25">
      <c r="A239" s="5"/>
      <c r="B239" s="5"/>
      <c r="C239" s="5"/>
      <c r="D239" s="5"/>
      <c r="E239" s="10">
        <f t="shared" si="23"/>
        <v>0</v>
      </c>
      <c r="F239" s="5"/>
      <c r="G239" s="3">
        <f t="shared" si="24"/>
        <v>0</v>
      </c>
      <c r="H239" s="25"/>
      <c r="I239" s="5"/>
      <c r="J239" s="5"/>
      <c r="AM239" s="9"/>
      <c r="AN239" s="5"/>
      <c r="AO239" s="5"/>
      <c r="AP239" s="5"/>
      <c r="AQ239" s="10">
        <f t="shared" si="25"/>
        <v>0</v>
      </c>
      <c r="AR239" s="5"/>
      <c r="AS239" s="3">
        <f t="shared" si="26"/>
        <v>0</v>
      </c>
      <c r="AT239" s="28"/>
      <c r="AU239" s="5"/>
      <c r="AV239" s="5"/>
      <c r="CE239" s="2"/>
      <c r="CF239" s="19"/>
      <c r="CG239" s="2">
        <f t="shared" si="21"/>
        <v>0</v>
      </c>
      <c r="CH239" s="2">
        <f t="shared" si="22"/>
        <v>0</v>
      </c>
      <c r="CI239" s="2"/>
      <c r="CJ239" s="20">
        <f t="shared" si="27"/>
        <v>0</v>
      </c>
    </row>
    <row r="240" spans="1:88" x14ac:dyDescent="0.25">
      <c r="A240" s="5"/>
      <c r="B240" s="5"/>
      <c r="C240" s="5"/>
      <c r="D240" s="5"/>
      <c r="E240" s="10">
        <f t="shared" si="23"/>
        <v>0</v>
      </c>
      <c r="F240" s="5"/>
      <c r="G240" s="3">
        <f t="shared" si="24"/>
        <v>0</v>
      </c>
      <c r="H240" s="25"/>
      <c r="I240" s="5"/>
      <c r="J240" s="5"/>
      <c r="AM240" s="9"/>
      <c r="AN240" s="5"/>
      <c r="AO240" s="5"/>
      <c r="AP240" s="5"/>
      <c r="AQ240" s="10">
        <f t="shared" si="25"/>
        <v>0</v>
      </c>
      <c r="AR240" s="5"/>
      <c r="AS240" s="3">
        <f t="shared" si="26"/>
        <v>0</v>
      </c>
      <c r="AT240" s="28"/>
      <c r="AU240" s="5"/>
      <c r="AV240" s="5"/>
      <c r="CE240" s="2"/>
      <c r="CF240" s="19"/>
      <c r="CG240" s="2">
        <f t="shared" si="21"/>
        <v>0</v>
      </c>
      <c r="CH240" s="2">
        <f t="shared" si="22"/>
        <v>0</v>
      </c>
      <c r="CI240" s="2"/>
      <c r="CJ240" s="20">
        <f t="shared" si="27"/>
        <v>0</v>
      </c>
    </row>
    <row r="241" spans="1:88" x14ac:dyDescent="0.25">
      <c r="A241" s="5"/>
      <c r="B241" s="5"/>
      <c r="C241" s="5"/>
      <c r="D241" s="5"/>
      <c r="E241" s="10">
        <f t="shared" si="23"/>
        <v>0</v>
      </c>
      <c r="F241" s="5"/>
      <c r="G241" s="3">
        <f t="shared" si="24"/>
        <v>0</v>
      </c>
      <c r="H241" s="25"/>
      <c r="I241" s="5"/>
      <c r="J241" s="5"/>
      <c r="AM241" s="9"/>
      <c r="AN241" s="5"/>
      <c r="AO241" s="5"/>
      <c r="AP241" s="5"/>
      <c r="AQ241" s="10">
        <f t="shared" si="25"/>
        <v>0</v>
      </c>
      <c r="AR241" s="5"/>
      <c r="AS241" s="3">
        <f t="shared" si="26"/>
        <v>0</v>
      </c>
      <c r="AT241" s="28"/>
      <c r="AU241" s="5"/>
      <c r="AV241" s="5"/>
      <c r="CE241" s="2"/>
      <c r="CF241" s="19"/>
      <c r="CG241" s="2">
        <f t="shared" si="21"/>
        <v>0</v>
      </c>
      <c r="CH241" s="2">
        <f t="shared" si="22"/>
        <v>0</v>
      </c>
      <c r="CI241" s="2"/>
      <c r="CJ241" s="20">
        <f t="shared" si="27"/>
        <v>0</v>
      </c>
    </row>
    <row r="242" spans="1:88" x14ac:dyDescent="0.25">
      <c r="A242" s="5"/>
      <c r="B242" s="5"/>
      <c r="C242" s="5"/>
      <c r="D242" s="5"/>
      <c r="E242" s="10">
        <f t="shared" si="23"/>
        <v>0</v>
      </c>
      <c r="F242" s="5"/>
      <c r="G242" s="3">
        <f t="shared" si="24"/>
        <v>0</v>
      </c>
      <c r="H242" s="25"/>
      <c r="I242" s="5"/>
      <c r="J242" s="5"/>
      <c r="AM242" s="9"/>
      <c r="AN242" s="5"/>
      <c r="AO242" s="5"/>
      <c r="AP242" s="5"/>
      <c r="AQ242" s="10">
        <f t="shared" si="25"/>
        <v>0</v>
      </c>
      <c r="AR242" s="5"/>
      <c r="AS242" s="3">
        <f t="shared" si="26"/>
        <v>0</v>
      </c>
      <c r="AT242" s="28"/>
      <c r="AU242" s="5"/>
      <c r="AV242" s="5"/>
      <c r="CE242" s="2"/>
      <c r="CF242" s="19"/>
      <c r="CG242" s="2">
        <f t="shared" si="21"/>
        <v>0</v>
      </c>
      <c r="CH242" s="2">
        <f t="shared" si="22"/>
        <v>0</v>
      </c>
      <c r="CI242" s="2"/>
      <c r="CJ242" s="20">
        <f t="shared" si="27"/>
        <v>0</v>
      </c>
    </row>
    <row r="243" spans="1:88" x14ac:dyDescent="0.25">
      <c r="A243" s="5"/>
      <c r="B243" s="5"/>
      <c r="C243" s="5"/>
      <c r="D243" s="5"/>
      <c r="E243" s="10">
        <f t="shared" si="23"/>
        <v>0</v>
      </c>
      <c r="F243" s="5"/>
      <c r="G243" s="3">
        <f t="shared" si="24"/>
        <v>0</v>
      </c>
      <c r="H243" s="25"/>
      <c r="I243" s="5"/>
      <c r="J243" s="5"/>
      <c r="AM243" s="9"/>
      <c r="AN243" s="5"/>
      <c r="AO243" s="5"/>
      <c r="AP243" s="5"/>
      <c r="AQ243" s="10">
        <f t="shared" si="25"/>
        <v>0</v>
      </c>
      <c r="AR243" s="5"/>
      <c r="AS243" s="3">
        <f t="shared" si="26"/>
        <v>0</v>
      </c>
      <c r="AT243" s="28"/>
      <c r="AU243" s="5"/>
      <c r="AV243" s="5"/>
      <c r="CE243" s="2"/>
      <c r="CF243" s="19"/>
      <c r="CG243" s="2">
        <f t="shared" si="21"/>
        <v>0</v>
      </c>
      <c r="CH243" s="2">
        <f t="shared" si="22"/>
        <v>0</v>
      </c>
      <c r="CI243" s="2"/>
      <c r="CJ243" s="20">
        <f t="shared" si="27"/>
        <v>0</v>
      </c>
    </row>
    <row r="244" spans="1:88" x14ac:dyDescent="0.25">
      <c r="A244" s="5"/>
      <c r="B244" s="5"/>
      <c r="C244" s="5"/>
      <c r="D244" s="5"/>
      <c r="E244" s="10">
        <f t="shared" si="23"/>
        <v>0</v>
      </c>
      <c r="F244" s="5"/>
      <c r="G244" s="3">
        <f t="shared" si="24"/>
        <v>0</v>
      </c>
      <c r="H244" s="25"/>
      <c r="I244" s="5"/>
      <c r="J244" s="5"/>
      <c r="AM244" s="9"/>
      <c r="AN244" s="5"/>
      <c r="AO244" s="5"/>
      <c r="AP244" s="5"/>
      <c r="AQ244" s="10">
        <f t="shared" si="25"/>
        <v>0</v>
      </c>
      <c r="AR244" s="5"/>
      <c r="AS244" s="3">
        <f t="shared" si="26"/>
        <v>0</v>
      </c>
      <c r="AT244" s="28"/>
      <c r="AU244" s="5"/>
      <c r="AV244" s="5"/>
      <c r="CE244" s="2"/>
      <c r="CF244" s="19"/>
      <c r="CG244" s="2">
        <f t="shared" si="21"/>
        <v>0</v>
      </c>
      <c r="CH244" s="2">
        <f t="shared" si="22"/>
        <v>0</v>
      </c>
      <c r="CI244" s="2"/>
      <c r="CJ244" s="20">
        <f t="shared" si="27"/>
        <v>0</v>
      </c>
    </row>
    <row r="245" spans="1:88" x14ac:dyDescent="0.25">
      <c r="A245" s="5"/>
      <c r="B245" s="5"/>
      <c r="C245" s="5"/>
      <c r="D245" s="5"/>
      <c r="E245" s="10">
        <f t="shared" si="23"/>
        <v>0</v>
      </c>
      <c r="F245" s="5"/>
      <c r="G245" s="3">
        <f t="shared" si="24"/>
        <v>0</v>
      </c>
      <c r="H245" s="25"/>
      <c r="I245" s="5"/>
      <c r="J245" s="5"/>
      <c r="AM245" s="9"/>
      <c r="AN245" s="5"/>
      <c r="AO245" s="5"/>
      <c r="AP245" s="5"/>
      <c r="AQ245" s="10">
        <f t="shared" si="25"/>
        <v>0</v>
      </c>
      <c r="AR245" s="5"/>
      <c r="AS245" s="3">
        <f t="shared" si="26"/>
        <v>0</v>
      </c>
      <c r="AT245" s="28"/>
      <c r="AU245" s="5"/>
      <c r="AV245" s="5"/>
      <c r="CE245" s="2"/>
      <c r="CF245" s="19"/>
      <c r="CG245" s="2">
        <f t="shared" si="21"/>
        <v>0</v>
      </c>
      <c r="CH245" s="2">
        <f t="shared" si="22"/>
        <v>0</v>
      </c>
      <c r="CI245" s="2"/>
      <c r="CJ245" s="20">
        <f t="shared" si="27"/>
        <v>0</v>
      </c>
    </row>
    <row r="246" spans="1:88" x14ac:dyDescent="0.25">
      <c r="A246" s="5"/>
      <c r="B246" s="5"/>
      <c r="C246" s="5"/>
      <c r="D246" s="5"/>
      <c r="E246" s="10">
        <f t="shared" si="23"/>
        <v>0</v>
      </c>
      <c r="F246" s="5"/>
      <c r="G246" s="3">
        <f t="shared" si="24"/>
        <v>0</v>
      </c>
      <c r="H246" s="25"/>
      <c r="I246" s="5"/>
      <c r="J246" s="5"/>
      <c r="AM246" s="9"/>
      <c r="AN246" s="5"/>
      <c r="AO246" s="5"/>
      <c r="AP246" s="5"/>
      <c r="AQ246" s="10">
        <f t="shared" si="25"/>
        <v>0</v>
      </c>
      <c r="AR246" s="5"/>
      <c r="AS246" s="3">
        <f t="shared" si="26"/>
        <v>0</v>
      </c>
      <c r="AT246" s="28"/>
      <c r="AU246" s="5"/>
      <c r="AV246" s="5"/>
      <c r="CE246" s="2"/>
      <c r="CF246" s="19"/>
      <c r="CG246" s="2">
        <f t="shared" si="21"/>
        <v>0</v>
      </c>
      <c r="CH246" s="2">
        <f t="shared" si="22"/>
        <v>0</v>
      </c>
      <c r="CI246" s="2"/>
      <c r="CJ246" s="20">
        <f t="shared" si="27"/>
        <v>0</v>
      </c>
    </row>
    <row r="247" spans="1:88" x14ac:dyDescent="0.25">
      <c r="A247" s="5"/>
      <c r="B247" s="5"/>
      <c r="C247" s="5"/>
      <c r="D247" s="5"/>
      <c r="E247" s="10">
        <f t="shared" si="23"/>
        <v>0</v>
      </c>
      <c r="F247" s="5"/>
      <c r="G247" s="3">
        <f t="shared" si="24"/>
        <v>0</v>
      </c>
      <c r="H247" s="25"/>
      <c r="I247" s="5"/>
      <c r="J247" s="5"/>
      <c r="AM247" s="9"/>
      <c r="AN247" s="5"/>
      <c r="AO247" s="5"/>
      <c r="AP247" s="5"/>
      <c r="AQ247" s="10">
        <f t="shared" si="25"/>
        <v>0</v>
      </c>
      <c r="AR247" s="5"/>
      <c r="AS247" s="3">
        <f t="shared" si="26"/>
        <v>0</v>
      </c>
      <c r="AT247" s="28"/>
      <c r="AU247" s="5"/>
      <c r="AV247" s="5"/>
      <c r="CE247" s="2"/>
      <c r="CF247" s="19"/>
      <c r="CG247" s="2">
        <f t="shared" si="21"/>
        <v>0</v>
      </c>
      <c r="CH247" s="2">
        <f t="shared" si="22"/>
        <v>0</v>
      </c>
      <c r="CI247" s="2"/>
      <c r="CJ247" s="20">
        <f t="shared" si="27"/>
        <v>0</v>
      </c>
    </row>
    <row r="248" spans="1:88" x14ac:dyDescent="0.25">
      <c r="A248" s="5"/>
      <c r="B248" s="5"/>
      <c r="C248" s="5"/>
      <c r="D248" s="5"/>
      <c r="E248" s="10">
        <f t="shared" si="23"/>
        <v>0</v>
      </c>
      <c r="F248" s="5"/>
      <c r="G248" s="3">
        <f t="shared" si="24"/>
        <v>0</v>
      </c>
      <c r="H248" s="25"/>
      <c r="I248" s="5"/>
      <c r="J248" s="5"/>
      <c r="AM248" s="9"/>
      <c r="AN248" s="5"/>
      <c r="AO248" s="5"/>
      <c r="AP248" s="5"/>
      <c r="AQ248" s="10">
        <f t="shared" si="25"/>
        <v>0</v>
      </c>
      <c r="AR248" s="5"/>
      <c r="AS248" s="3">
        <f t="shared" si="26"/>
        <v>0</v>
      </c>
      <c r="AT248" s="28"/>
      <c r="AU248" s="5"/>
      <c r="AV248" s="5"/>
      <c r="CE248" s="2"/>
      <c r="CF248" s="19"/>
      <c r="CG248" s="2">
        <f t="shared" si="21"/>
        <v>0</v>
      </c>
      <c r="CH248" s="2">
        <f t="shared" si="22"/>
        <v>0</v>
      </c>
      <c r="CI248" s="2"/>
      <c r="CJ248" s="20">
        <f t="shared" si="27"/>
        <v>0</v>
      </c>
    </row>
    <row r="249" spans="1:88" x14ac:dyDescent="0.25">
      <c r="A249" s="5"/>
      <c r="B249" s="5"/>
      <c r="C249" s="5"/>
      <c r="D249" s="5"/>
      <c r="E249" s="10">
        <f t="shared" si="23"/>
        <v>0</v>
      </c>
      <c r="F249" s="5"/>
      <c r="G249" s="3">
        <f t="shared" si="24"/>
        <v>0</v>
      </c>
      <c r="H249" s="25"/>
      <c r="I249" s="5"/>
      <c r="J249" s="5"/>
      <c r="AM249" s="9"/>
      <c r="AN249" s="5"/>
      <c r="AO249" s="5"/>
      <c r="AP249" s="5"/>
      <c r="AQ249" s="10">
        <f t="shared" si="25"/>
        <v>0</v>
      </c>
      <c r="AR249" s="5"/>
      <c r="AS249" s="3">
        <f t="shared" si="26"/>
        <v>0</v>
      </c>
      <c r="AT249" s="28"/>
      <c r="AU249" s="5"/>
      <c r="AV249" s="5"/>
      <c r="CE249" s="2"/>
      <c r="CF249" s="19"/>
      <c r="CG249" s="2">
        <f t="shared" si="21"/>
        <v>0</v>
      </c>
      <c r="CH249" s="2">
        <f t="shared" si="22"/>
        <v>0</v>
      </c>
      <c r="CI249" s="2"/>
      <c r="CJ249" s="20">
        <f t="shared" si="27"/>
        <v>0</v>
      </c>
    </row>
    <row r="250" spans="1:88" x14ac:dyDescent="0.25">
      <c r="A250" s="5"/>
      <c r="B250" s="5"/>
      <c r="C250" s="5"/>
      <c r="D250" s="5"/>
      <c r="E250" s="10">
        <f t="shared" si="23"/>
        <v>0</v>
      </c>
      <c r="F250" s="5"/>
      <c r="G250" s="3">
        <f t="shared" si="24"/>
        <v>0</v>
      </c>
      <c r="H250" s="25"/>
      <c r="I250" s="5"/>
      <c r="J250" s="5"/>
      <c r="AM250" s="9"/>
      <c r="AN250" s="5"/>
      <c r="AO250" s="5"/>
      <c r="AP250" s="5"/>
      <c r="AQ250" s="10">
        <f t="shared" si="25"/>
        <v>0</v>
      </c>
      <c r="AR250" s="5"/>
      <c r="AS250" s="3">
        <f t="shared" si="26"/>
        <v>0</v>
      </c>
      <c r="AT250" s="28"/>
      <c r="AU250" s="5"/>
      <c r="AV250" s="5"/>
      <c r="CE250" s="2"/>
      <c r="CF250" s="19"/>
      <c r="CG250" s="2">
        <f t="shared" si="21"/>
        <v>0</v>
      </c>
      <c r="CH250" s="2">
        <f t="shared" si="22"/>
        <v>0</v>
      </c>
      <c r="CI250" s="2"/>
      <c r="CJ250" s="20">
        <f t="shared" si="27"/>
        <v>0</v>
      </c>
    </row>
    <row r="251" spans="1:88" x14ac:dyDescent="0.25">
      <c r="A251" s="5"/>
      <c r="B251" s="5"/>
      <c r="C251" s="5"/>
      <c r="D251" s="5"/>
      <c r="E251" s="10">
        <f t="shared" si="23"/>
        <v>0</v>
      </c>
      <c r="F251" s="5"/>
      <c r="G251" s="3">
        <f t="shared" si="24"/>
        <v>0</v>
      </c>
      <c r="H251" s="25"/>
      <c r="I251" s="5"/>
      <c r="J251" s="5"/>
      <c r="AM251" s="9"/>
      <c r="AN251" s="5"/>
      <c r="AO251" s="5"/>
      <c r="AP251" s="5"/>
      <c r="AQ251" s="10">
        <f t="shared" si="25"/>
        <v>0</v>
      </c>
      <c r="AR251" s="5"/>
      <c r="AS251" s="3">
        <f t="shared" si="26"/>
        <v>0</v>
      </c>
      <c r="AT251" s="28"/>
      <c r="AU251" s="5"/>
      <c r="AV251" s="5"/>
      <c r="CE251" s="2"/>
      <c r="CF251" s="19"/>
      <c r="CG251" s="2">
        <f t="shared" si="21"/>
        <v>0</v>
      </c>
      <c r="CH251" s="2">
        <f t="shared" si="22"/>
        <v>0</v>
      </c>
      <c r="CI251" s="2"/>
      <c r="CJ251" s="20">
        <f t="shared" si="27"/>
        <v>0</v>
      </c>
    </row>
    <row r="252" spans="1:88" x14ac:dyDescent="0.25">
      <c r="A252" s="5"/>
      <c r="B252" s="5"/>
      <c r="C252" s="5"/>
      <c r="D252" s="5"/>
      <c r="E252" s="10">
        <f t="shared" si="23"/>
        <v>0</v>
      </c>
      <c r="F252" s="5"/>
      <c r="G252" s="3">
        <f t="shared" si="24"/>
        <v>0</v>
      </c>
      <c r="H252" s="25"/>
      <c r="I252" s="5"/>
      <c r="J252" s="5"/>
      <c r="AM252" s="9"/>
      <c r="AN252" s="5"/>
      <c r="AO252" s="5"/>
      <c r="AP252" s="5"/>
      <c r="AQ252" s="10">
        <f t="shared" si="25"/>
        <v>0</v>
      </c>
      <c r="AR252" s="5"/>
      <c r="AS252" s="3">
        <f t="shared" si="26"/>
        <v>0</v>
      </c>
      <c r="AT252" s="28"/>
      <c r="AU252" s="5"/>
      <c r="AV252" s="5"/>
      <c r="CE252" s="2"/>
      <c r="CF252" s="19"/>
      <c r="CG252" s="2">
        <f t="shared" si="21"/>
        <v>0</v>
      </c>
      <c r="CH252" s="2">
        <f t="shared" si="22"/>
        <v>0</v>
      </c>
      <c r="CI252" s="2"/>
      <c r="CJ252" s="20">
        <f t="shared" si="27"/>
        <v>0</v>
      </c>
    </row>
    <row r="253" spans="1:88" x14ac:dyDescent="0.25">
      <c r="A253" s="5"/>
      <c r="B253" s="5"/>
      <c r="C253" s="5"/>
      <c r="D253" s="5"/>
      <c r="E253" s="10">
        <f t="shared" si="23"/>
        <v>0</v>
      </c>
      <c r="F253" s="5"/>
      <c r="G253" s="3">
        <f t="shared" si="24"/>
        <v>0</v>
      </c>
      <c r="H253" s="25"/>
      <c r="I253" s="5"/>
      <c r="J253" s="5"/>
      <c r="AM253" s="9"/>
      <c r="AN253" s="5"/>
      <c r="AO253" s="5"/>
      <c r="AP253" s="5"/>
      <c r="AQ253" s="10">
        <f t="shared" si="25"/>
        <v>0</v>
      </c>
      <c r="AR253" s="5"/>
      <c r="AS253" s="3">
        <f t="shared" si="26"/>
        <v>0</v>
      </c>
      <c r="AT253" s="28"/>
      <c r="AU253" s="5"/>
      <c r="AV253" s="5"/>
      <c r="CE253" s="2"/>
      <c r="CF253" s="19"/>
      <c r="CG253" s="2">
        <f t="shared" si="21"/>
        <v>0</v>
      </c>
      <c r="CH253" s="2">
        <f t="shared" si="22"/>
        <v>0</v>
      </c>
      <c r="CI253" s="2"/>
      <c r="CJ253" s="20">
        <f t="shared" si="27"/>
        <v>0</v>
      </c>
    </row>
    <row r="254" spans="1:88" x14ac:dyDescent="0.25">
      <c r="A254" s="5"/>
      <c r="B254" s="5"/>
      <c r="C254" s="5"/>
      <c r="D254" s="5"/>
      <c r="E254" s="10">
        <f t="shared" si="23"/>
        <v>0</v>
      </c>
      <c r="F254" s="5"/>
      <c r="G254" s="3">
        <f t="shared" si="24"/>
        <v>0</v>
      </c>
      <c r="H254" s="25"/>
      <c r="I254" s="5"/>
      <c r="J254" s="5"/>
      <c r="AM254" s="9"/>
      <c r="AN254" s="5"/>
      <c r="AO254" s="5"/>
      <c r="AP254" s="5"/>
      <c r="AQ254" s="10">
        <f t="shared" si="25"/>
        <v>0</v>
      </c>
      <c r="AR254" s="5"/>
      <c r="AS254" s="3">
        <f t="shared" si="26"/>
        <v>0</v>
      </c>
      <c r="AT254" s="28"/>
      <c r="AU254" s="5"/>
      <c r="AV254" s="5"/>
      <c r="CE254" s="2"/>
      <c r="CF254" s="19"/>
      <c r="CG254" s="2">
        <f t="shared" si="21"/>
        <v>0</v>
      </c>
      <c r="CH254" s="2">
        <f t="shared" si="22"/>
        <v>0</v>
      </c>
      <c r="CI254" s="2"/>
      <c r="CJ254" s="20">
        <f t="shared" si="27"/>
        <v>0</v>
      </c>
    </row>
    <row r="255" spans="1:88" x14ac:dyDescent="0.25">
      <c r="A255" s="5"/>
      <c r="B255" s="5"/>
      <c r="C255" s="5"/>
      <c r="D255" s="5"/>
      <c r="E255" s="10">
        <f t="shared" si="23"/>
        <v>0</v>
      </c>
      <c r="F255" s="5"/>
      <c r="G255" s="3">
        <f t="shared" si="24"/>
        <v>0</v>
      </c>
      <c r="H255" s="25"/>
      <c r="I255" s="5"/>
      <c r="J255" s="5"/>
      <c r="AM255" s="9"/>
      <c r="AN255" s="5"/>
      <c r="AO255" s="5"/>
      <c r="AP255" s="5"/>
      <c r="AQ255" s="10">
        <f t="shared" si="25"/>
        <v>0</v>
      </c>
      <c r="AR255" s="5"/>
      <c r="AS255" s="3">
        <f t="shared" si="26"/>
        <v>0</v>
      </c>
      <c r="AT255" s="28"/>
      <c r="AU255" s="5"/>
      <c r="AV255" s="5"/>
      <c r="CE255" s="2"/>
      <c r="CF255" s="19"/>
      <c r="CG255" s="2">
        <f t="shared" si="21"/>
        <v>0</v>
      </c>
      <c r="CH255" s="2">
        <f t="shared" si="22"/>
        <v>0</v>
      </c>
      <c r="CI255" s="2"/>
      <c r="CJ255" s="20">
        <f t="shared" si="27"/>
        <v>0</v>
      </c>
    </row>
    <row r="256" spans="1:88" x14ac:dyDescent="0.25">
      <c r="A256" s="5"/>
      <c r="B256" s="5"/>
      <c r="C256" s="5"/>
      <c r="D256" s="5"/>
      <c r="E256" s="10">
        <f t="shared" si="23"/>
        <v>0</v>
      </c>
      <c r="F256" s="5"/>
      <c r="G256" s="3">
        <f t="shared" si="24"/>
        <v>0</v>
      </c>
      <c r="H256" s="25"/>
      <c r="I256" s="5"/>
      <c r="J256" s="5"/>
      <c r="AM256" s="9"/>
      <c r="AN256" s="5"/>
      <c r="AO256" s="5"/>
      <c r="AP256" s="5"/>
      <c r="AQ256" s="10">
        <f t="shared" si="25"/>
        <v>0</v>
      </c>
      <c r="AR256" s="5"/>
      <c r="AS256" s="3">
        <f t="shared" si="26"/>
        <v>0</v>
      </c>
      <c r="AT256" s="28"/>
      <c r="AU256" s="5"/>
      <c r="AV256" s="5"/>
      <c r="CE256" s="2"/>
      <c r="CF256" s="19"/>
      <c r="CG256" s="2">
        <f t="shared" si="21"/>
        <v>0</v>
      </c>
      <c r="CH256" s="2">
        <f t="shared" si="22"/>
        <v>0</v>
      </c>
      <c r="CI256" s="2"/>
      <c r="CJ256" s="20">
        <f t="shared" si="27"/>
        <v>0</v>
      </c>
    </row>
    <row r="257" spans="1:88" x14ac:dyDescent="0.25">
      <c r="A257" s="5"/>
      <c r="B257" s="5"/>
      <c r="C257" s="5"/>
      <c r="D257" s="5"/>
      <c r="E257" s="10">
        <f t="shared" si="23"/>
        <v>0</v>
      </c>
      <c r="F257" s="5"/>
      <c r="G257" s="3">
        <f t="shared" si="24"/>
        <v>0</v>
      </c>
      <c r="H257" s="25"/>
      <c r="I257" s="5"/>
      <c r="J257" s="5"/>
      <c r="AM257" s="9"/>
      <c r="AN257" s="5"/>
      <c r="AO257" s="5"/>
      <c r="AP257" s="5"/>
      <c r="AQ257" s="10">
        <f t="shared" si="25"/>
        <v>0</v>
      </c>
      <c r="AR257" s="5"/>
      <c r="AS257" s="3">
        <f t="shared" si="26"/>
        <v>0</v>
      </c>
      <c r="AT257" s="28"/>
      <c r="AU257" s="5"/>
      <c r="AV257" s="5"/>
      <c r="CE257" s="2"/>
      <c r="CF257" s="19"/>
      <c r="CG257" s="2">
        <f t="shared" si="21"/>
        <v>0</v>
      </c>
      <c r="CH257" s="2">
        <f t="shared" si="22"/>
        <v>0</v>
      </c>
      <c r="CI257" s="2"/>
      <c r="CJ257" s="20">
        <f t="shared" si="27"/>
        <v>0</v>
      </c>
    </row>
    <row r="258" spans="1:88" x14ac:dyDescent="0.25">
      <c r="A258" s="5"/>
      <c r="B258" s="5"/>
      <c r="C258" s="5"/>
      <c r="D258" s="5"/>
      <c r="E258" s="10">
        <f t="shared" si="23"/>
        <v>0</v>
      </c>
      <c r="F258" s="5"/>
      <c r="G258" s="3">
        <f t="shared" si="24"/>
        <v>0</v>
      </c>
      <c r="H258" s="25"/>
      <c r="I258" s="5"/>
      <c r="J258" s="5"/>
      <c r="AM258" s="9"/>
      <c r="AN258" s="5"/>
      <c r="AO258" s="5"/>
      <c r="AP258" s="5"/>
      <c r="AQ258" s="10">
        <f t="shared" si="25"/>
        <v>0</v>
      </c>
      <c r="AR258" s="5"/>
      <c r="AS258" s="3">
        <f t="shared" si="26"/>
        <v>0</v>
      </c>
      <c r="AT258" s="28"/>
      <c r="AU258" s="5"/>
      <c r="AV258" s="5"/>
      <c r="CE258" s="2"/>
      <c r="CF258" s="19"/>
      <c r="CG258" s="2">
        <f t="shared" si="21"/>
        <v>0</v>
      </c>
      <c r="CH258" s="2">
        <f t="shared" si="22"/>
        <v>0</v>
      </c>
      <c r="CI258" s="2"/>
      <c r="CJ258" s="20">
        <f t="shared" si="27"/>
        <v>0</v>
      </c>
    </row>
    <row r="259" spans="1:88" x14ac:dyDescent="0.25">
      <c r="A259" s="5"/>
      <c r="B259" s="5"/>
      <c r="C259" s="5"/>
      <c r="D259" s="5"/>
      <c r="E259" s="10">
        <f t="shared" si="23"/>
        <v>0</v>
      </c>
      <c r="F259" s="5"/>
      <c r="G259" s="3">
        <f t="shared" si="24"/>
        <v>0</v>
      </c>
      <c r="H259" s="25"/>
      <c r="I259" s="5"/>
      <c r="J259" s="5"/>
      <c r="AM259" s="9"/>
      <c r="AN259" s="5"/>
      <c r="AO259" s="5"/>
      <c r="AP259" s="5"/>
      <c r="AQ259" s="10">
        <f t="shared" si="25"/>
        <v>0</v>
      </c>
      <c r="AR259" s="5"/>
      <c r="AS259" s="3">
        <f t="shared" si="26"/>
        <v>0</v>
      </c>
      <c r="AT259" s="28"/>
      <c r="AU259" s="5"/>
      <c r="AV259" s="5"/>
      <c r="CE259" s="2"/>
      <c r="CF259" s="19"/>
      <c r="CG259" s="2">
        <f t="shared" si="21"/>
        <v>0</v>
      </c>
      <c r="CH259" s="2">
        <f t="shared" si="22"/>
        <v>0</v>
      </c>
      <c r="CI259" s="2"/>
      <c r="CJ259" s="20">
        <f t="shared" si="27"/>
        <v>0</v>
      </c>
    </row>
    <row r="260" spans="1:88" x14ac:dyDescent="0.25">
      <c r="A260" s="5"/>
      <c r="B260" s="5"/>
      <c r="C260" s="5"/>
      <c r="D260" s="5"/>
      <c r="E260" s="10">
        <f t="shared" si="23"/>
        <v>0</v>
      </c>
      <c r="F260" s="5"/>
      <c r="G260" s="3">
        <f t="shared" si="24"/>
        <v>0</v>
      </c>
      <c r="H260" s="25"/>
      <c r="I260" s="5"/>
      <c r="J260" s="5"/>
      <c r="AM260" s="9"/>
      <c r="AN260" s="5"/>
      <c r="AO260" s="5"/>
      <c r="AP260" s="5"/>
      <c r="AQ260" s="10">
        <f t="shared" si="25"/>
        <v>0</v>
      </c>
      <c r="AR260" s="5"/>
      <c r="AS260" s="3">
        <f t="shared" si="26"/>
        <v>0</v>
      </c>
      <c r="AT260" s="28"/>
      <c r="AU260" s="5"/>
      <c r="AV260" s="5"/>
      <c r="CE260" s="2"/>
      <c r="CF260" s="19"/>
      <c r="CG260" s="2">
        <f t="shared" si="21"/>
        <v>0</v>
      </c>
      <c r="CH260" s="2">
        <f t="shared" si="22"/>
        <v>0</v>
      </c>
      <c r="CI260" s="2"/>
      <c r="CJ260" s="20">
        <f t="shared" si="27"/>
        <v>0</v>
      </c>
    </row>
    <row r="261" spans="1:88" x14ac:dyDescent="0.25">
      <c r="A261" s="5"/>
      <c r="B261" s="5"/>
      <c r="C261" s="5"/>
      <c r="D261" s="5"/>
      <c r="E261" s="10">
        <f t="shared" si="23"/>
        <v>0</v>
      </c>
      <c r="F261" s="5"/>
      <c r="G261" s="3">
        <f t="shared" si="24"/>
        <v>0</v>
      </c>
      <c r="H261" s="25"/>
      <c r="I261" s="5"/>
      <c r="J261" s="5"/>
      <c r="AM261" s="9"/>
      <c r="AN261" s="5"/>
      <c r="AO261" s="5"/>
      <c r="AP261" s="5"/>
      <c r="AQ261" s="10">
        <f t="shared" si="25"/>
        <v>0</v>
      </c>
      <c r="AR261" s="5"/>
      <c r="AS261" s="3">
        <f t="shared" si="26"/>
        <v>0</v>
      </c>
      <c r="AT261" s="28"/>
      <c r="AU261" s="5"/>
      <c r="AV261" s="5"/>
      <c r="CE261" s="2"/>
      <c r="CF261" s="19"/>
      <c r="CG261" s="2">
        <f t="shared" ref="CG261:CG304" si="28">1/2*$CB$5*($CC$5)^2*$CD$5*CE261</f>
        <v>0</v>
      </c>
      <c r="CH261" s="2">
        <f t="shared" ref="CH261:CH304" si="29">1/2*$CB$5*($CC$5)^2*$CD$5*CF261</f>
        <v>0</v>
      </c>
      <c r="CI261" s="2"/>
      <c r="CJ261" s="20">
        <f t="shared" si="27"/>
        <v>0</v>
      </c>
    </row>
    <row r="262" spans="1:88" x14ac:dyDescent="0.25">
      <c r="A262" s="5"/>
      <c r="B262" s="5"/>
      <c r="C262" s="5"/>
      <c r="D262" s="5"/>
      <c r="E262" s="10">
        <f t="shared" ref="E262:E305" si="30">-(C262/$C$6)</f>
        <v>0</v>
      </c>
      <c r="F262" s="5"/>
      <c r="G262" s="3">
        <f t="shared" ref="G262:G305" si="31">1/2*$CB$5*($CC$5)^2*$CD$5*A262</f>
        <v>0</v>
      </c>
      <c r="H262" s="25"/>
      <c r="I262" s="5"/>
      <c r="J262" s="5"/>
      <c r="AM262" s="9"/>
      <c r="AN262" s="5"/>
      <c r="AO262" s="5"/>
      <c r="AP262" s="5"/>
      <c r="AQ262" s="10">
        <f t="shared" ref="AQ262:AQ305" si="32">-(AO262/$C$6)</f>
        <v>0</v>
      </c>
      <c r="AR262" s="5"/>
      <c r="AS262" s="3">
        <f t="shared" ref="AS262:AS305" si="33">1/2*$CB$5*($CC$5)^2*$CD$5*AM262</f>
        <v>0</v>
      </c>
      <c r="AT262" s="28"/>
      <c r="AU262" s="5"/>
      <c r="AV262" s="5"/>
      <c r="CE262" s="2"/>
      <c r="CF262" s="19"/>
      <c r="CG262" s="2">
        <f t="shared" si="28"/>
        <v>0</v>
      </c>
      <c r="CH262" s="2">
        <f t="shared" si="29"/>
        <v>0</v>
      </c>
      <c r="CI262" s="2"/>
      <c r="CJ262" s="20">
        <f t="shared" ref="CJ262:CJ304" si="34">-(CI262/$CI$5)</f>
        <v>0</v>
      </c>
    </row>
    <row r="263" spans="1:88" x14ac:dyDescent="0.25">
      <c r="A263" s="5"/>
      <c r="B263" s="5"/>
      <c r="C263" s="5"/>
      <c r="D263" s="5"/>
      <c r="E263" s="10">
        <f t="shared" si="30"/>
        <v>0</v>
      </c>
      <c r="F263" s="5"/>
      <c r="G263" s="3">
        <f t="shared" si="31"/>
        <v>0</v>
      </c>
      <c r="H263" s="25"/>
      <c r="I263" s="5"/>
      <c r="J263" s="5"/>
      <c r="AM263" s="9"/>
      <c r="AN263" s="5"/>
      <c r="AO263" s="5"/>
      <c r="AP263" s="5"/>
      <c r="AQ263" s="10">
        <f t="shared" si="32"/>
        <v>0</v>
      </c>
      <c r="AR263" s="5"/>
      <c r="AS263" s="3">
        <f t="shared" si="33"/>
        <v>0</v>
      </c>
      <c r="AT263" s="28"/>
      <c r="AU263" s="5"/>
      <c r="AV263" s="5"/>
      <c r="CE263" s="2"/>
      <c r="CF263" s="19"/>
      <c r="CG263" s="2">
        <f t="shared" si="28"/>
        <v>0</v>
      </c>
      <c r="CH263" s="2">
        <f t="shared" si="29"/>
        <v>0</v>
      </c>
      <c r="CI263" s="2"/>
      <c r="CJ263" s="20">
        <f t="shared" si="34"/>
        <v>0</v>
      </c>
    </row>
    <row r="264" spans="1:88" x14ac:dyDescent="0.25">
      <c r="A264" s="5"/>
      <c r="B264" s="5"/>
      <c r="C264" s="5"/>
      <c r="D264" s="5"/>
      <c r="E264" s="10">
        <f t="shared" si="30"/>
        <v>0</v>
      </c>
      <c r="F264" s="5"/>
      <c r="G264" s="3">
        <f t="shared" si="31"/>
        <v>0</v>
      </c>
      <c r="H264" s="25"/>
      <c r="I264" s="5"/>
      <c r="J264" s="5"/>
      <c r="AM264" s="9"/>
      <c r="AN264" s="5"/>
      <c r="AO264" s="5"/>
      <c r="AP264" s="5"/>
      <c r="AQ264" s="10">
        <f t="shared" si="32"/>
        <v>0</v>
      </c>
      <c r="AR264" s="5"/>
      <c r="AS264" s="3">
        <f t="shared" si="33"/>
        <v>0</v>
      </c>
      <c r="AT264" s="28"/>
      <c r="AU264" s="5"/>
      <c r="AV264" s="5"/>
      <c r="CE264" s="2"/>
      <c r="CF264" s="19"/>
      <c r="CG264" s="2">
        <f t="shared" si="28"/>
        <v>0</v>
      </c>
      <c r="CH264" s="2">
        <f t="shared" si="29"/>
        <v>0</v>
      </c>
      <c r="CI264" s="2"/>
      <c r="CJ264" s="20">
        <f t="shared" si="34"/>
        <v>0</v>
      </c>
    </row>
    <row r="265" spans="1:88" x14ac:dyDescent="0.25">
      <c r="A265" s="5"/>
      <c r="B265" s="5"/>
      <c r="C265" s="5"/>
      <c r="D265" s="5"/>
      <c r="E265" s="10">
        <f t="shared" si="30"/>
        <v>0</v>
      </c>
      <c r="F265" s="5"/>
      <c r="G265" s="3">
        <f t="shared" si="31"/>
        <v>0</v>
      </c>
      <c r="H265" s="25"/>
      <c r="I265" s="5"/>
      <c r="J265" s="5"/>
      <c r="AM265" s="9"/>
      <c r="AN265" s="5"/>
      <c r="AO265" s="5"/>
      <c r="AP265" s="5"/>
      <c r="AQ265" s="10">
        <f t="shared" si="32"/>
        <v>0</v>
      </c>
      <c r="AR265" s="5"/>
      <c r="AS265" s="3">
        <f t="shared" si="33"/>
        <v>0</v>
      </c>
      <c r="AT265" s="28"/>
      <c r="AU265" s="5"/>
      <c r="AV265" s="5"/>
      <c r="CE265" s="2"/>
      <c r="CF265" s="19"/>
      <c r="CG265" s="2">
        <f t="shared" si="28"/>
        <v>0</v>
      </c>
      <c r="CH265" s="2">
        <f t="shared" si="29"/>
        <v>0</v>
      </c>
      <c r="CI265" s="2"/>
      <c r="CJ265" s="20">
        <f t="shared" si="34"/>
        <v>0</v>
      </c>
    </row>
    <row r="266" spans="1:88" x14ac:dyDescent="0.25">
      <c r="A266" s="5"/>
      <c r="B266" s="5"/>
      <c r="C266" s="5"/>
      <c r="D266" s="5"/>
      <c r="E266" s="10">
        <f t="shared" si="30"/>
        <v>0</v>
      </c>
      <c r="F266" s="5"/>
      <c r="G266" s="3">
        <f t="shared" si="31"/>
        <v>0</v>
      </c>
      <c r="H266" s="25"/>
      <c r="I266" s="5"/>
      <c r="J266" s="5"/>
      <c r="AM266" s="9"/>
      <c r="AN266" s="5"/>
      <c r="AO266" s="5"/>
      <c r="AP266" s="5"/>
      <c r="AQ266" s="10">
        <f t="shared" si="32"/>
        <v>0</v>
      </c>
      <c r="AR266" s="5"/>
      <c r="AS266" s="3">
        <f t="shared" si="33"/>
        <v>0</v>
      </c>
      <c r="AT266" s="28"/>
      <c r="AU266" s="5"/>
      <c r="AV266" s="5"/>
      <c r="CE266" s="2"/>
      <c r="CF266" s="19"/>
      <c r="CG266" s="2">
        <f t="shared" si="28"/>
        <v>0</v>
      </c>
      <c r="CH266" s="2">
        <f t="shared" si="29"/>
        <v>0</v>
      </c>
      <c r="CI266" s="2"/>
      <c r="CJ266" s="20">
        <f t="shared" si="34"/>
        <v>0</v>
      </c>
    </row>
    <row r="267" spans="1:88" x14ac:dyDescent="0.25">
      <c r="A267" s="5"/>
      <c r="B267" s="5"/>
      <c r="C267" s="5"/>
      <c r="D267" s="5"/>
      <c r="E267" s="10">
        <f t="shared" si="30"/>
        <v>0</v>
      </c>
      <c r="F267" s="5"/>
      <c r="G267" s="3">
        <f t="shared" si="31"/>
        <v>0</v>
      </c>
      <c r="H267" s="25"/>
      <c r="I267" s="5"/>
      <c r="J267" s="5"/>
      <c r="AM267" s="9"/>
      <c r="AN267" s="5"/>
      <c r="AO267" s="5"/>
      <c r="AP267" s="5"/>
      <c r="AQ267" s="10">
        <f t="shared" si="32"/>
        <v>0</v>
      </c>
      <c r="AR267" s="5"/>
      <c r="AS267" s="3">
        <f t="shared" si="33"/>
        <v>0</v>
      </c>
      <c r="AT267" s="28"/>
      <c r="AU267" s="5"/>
      <c r="AV267" s="5"/>
      <c r="CE267" s="2"/>
      <c r="CF267" s="19"/>
      <c r="CG267" s="2">
        <f t="shared" si="28"/>
        <v>0</v>
      </c>
      <c r="CH267" s="2">
        <f t="shared" si="29"/>
        <v>0</v>
      </c>
      <c r="CI267" s="2"/>
      <c r="CJ267" s="20">
        <f t="shared" si="34"/>
        <v>0</v>
      </c>
    </row>
    <row r="268" spans="1:88" x14ac:dyDescent="0.25">
      <c r="A268" s="5"/>
      <c r="B268" s="5"/>
      <c r="C268" s="5"/>
      <c r="D268" s="5"/>
      <c r="E268" s="10">
        <f t="shared" si="30"/>
        <v>0</v>
      </c>
      <c r="F268" s="5"/>
      <c r="G268" s="3">
        <f t="shared" si="31"/>
        <v>0</v>
      </c>
      <c r="H268" s="25"/>
      <c r="I268" s="5"/>
      <c r="J268" s="5"/>
      <c r="AM268" s="9"/>
      <c r="AN268" s="5"/>
      <c r="AO268" s="5"/>
      <c r="AP268" s="5"/>
      <c r="AQ268" s="10">
        <f t="shared" si="32"/>
        <v>0</v>
      </c>
      <c r="AR268" s="5"/>
      <c r="AS268" s="3">
        <f t="shared" si="33"/>
        <v>0</v>
      </c>
      <c r="AT268" s="28"/>
      <c r="AU268" s="5"/>
      <c r="AV268" s="5"/>
      <c r="CE268" s="2"/>
      <c r="CF268" s="19"/>
      <c r="CG268" s="2">
        <f t="shared" si="28"/>
        <v>0</v>
      </c>
      <c r="CH268" s="2">
        <f t="shared" si="29"/>
        <v>0</v>
      </c>
      <c r="CI268" s="2"/>
      <c r="CJ268" s="20">
        <f t="shared" si="34"/>
        <v>0</v>
      </c>
    </row>
    <row r="269" spans="1:88" x14ac:dyDescent="0.25">
      <c r="A269" s="5"/>
      <c r="B269" s="5"/>
      <c r="C269" s="5"/>
      <c r="D269" s="5"/>
      <c r="E269" s="10">
        <f t="shared" si="30"/>
        <v>0</v>
      </c>
      <c r="F269" s="5"/>
      <c r="G269" s="3">
        <f t="shared" si="31"/>
        <v>0</v>
      </c>
      <c r="H269" s="25"/>
      <c r="I269" s="5"/>
      <c r="J269" s="5"/>
      <c r="AM269" s="9"/>
      <c r="AN269" s="5"/>
      <c r="AO269" s="5"/>
      <c r="AP269" s="5"/>
      <c r="AQ269" s="10">
        <f t="shared" si="32"/>
        <v>0</v>
      </c>
      <c r="AR269" s="5"/>
      <c r="AS269" s="3">
        <f t="shared" si="33"/>
        <v>0</v>
      </c>
      <c r="AT269" s="28"/>
      <c r="AU269" s="5"/>
      <c r="AV269" s="5"/>
      <c r="CE269" s="2"/>
      <c r="CF269" s="19"/>
      <c r="CG269" s="2">
        <f t="shared" si="28"/>
        <v>0</v>
      </c>
      <c r="CH269" s="2">
        <f t="shared" si="29"/>
        <v>0</v>
      </c>
      <c r="CI269" s="2"/>
      <c r="CJ269" s="20">
        <f t="shared" si="34"/>
        <v>0</v>
      </c>
    </row>
    <row r="270" spans="1:88" x14ac:dyDescent="0.25">
      <c r="A270" s="5"/>
      <c r="B270" s="5"/>
      <c r="C270" s="5"/>
      <c r="D270" s="5"/>
      <c r="E270" s="10">
        <f t="shared" si="30"/>
        <v>0</v>
      </c>
      <c r="F270" s="5"/>
      <c r="G270" s="3">
        <f t="shared" si="31"/>
        <v>0</v>
      </c>
      <c r="H270" s="25"/>
      <c r="I270" s="5"/>
      <c r="J270" s="5"/>
      <c r="AM270" s="9"/>
      <c r="AN270" s="5"/>
      <c r="AO270" s="5"/>
      <c r="AP270" s="5"/>
      <c r="AQ270" s="10">
        <f t="shared" si="32"/>
        <v>0</v>
      </c>
      <c r="AR270" s="5"/>
      <c r="AS270" s="3">
        <f t="shared" si="33"/>
        <v>0</v>
      </c>
      <c r="AT270" s="28"/>
      <c r="AU270" s="5"/>
      <c r="AV270" s="5"/>
      <c r="CE270" s="2"/>
      <c r="CF270" s="19"/>
      <c r="CG270" s="2">
        <f t="shared" si="28"/>
        <v>0</v>
      </c>
      <c r="CH270" s="2">
        <f t="shared" si="29"/>
        <v>0</v>
      </c>
      <c r="CI270" s="2"/>
      <c r="CJ270" s="20">
        <f t="shared" si="34"/>
        <v>0</v>
      </c>
    </row>
    <row r="271" spans="1:88" x14ac:dyDescent="0.25">
      <c r="A271" s="5"/>
      <c r="B271" s="5"/>
      <c r="C271" s="5"/>
      <c r="D271" s="5"/>
      <c r="E271" s="10">
        <f t="shared" si="30"/>
        <v>0</v>
      </c>
      <c r="F271" s="5"/>
      <c r="G271" s="3">
        <f t="shared" si="31"/>
        <v>0</v>
      </c>
      <c r="H271" s="25"/>
      <c r="I271" s="5"/>
      <c r="J271" s="5"/>
      <c r="AM271" s="9"/>
      <c r="AN271" s="5"/>
      <c r="AO271" s="5"/>
      <c r="AP271" s="5"/>
      <c r="AQ271" s="10">
        <f t="shared" si="32"/>
        <v>0</v>
      </c>
      <c r="AR271" s="5"/>
      <c r="AS271" s="3">
        <f t="shared" si="33"/>
        <v>0</v>
      </c>
      <c r="AT271" s="28"/>
      <c r="AU271" s="5"/>
      <c r="AV271" s="5"/>
      <c r="CE271" s="2"/>
      <c r="CF271" s="19"/>
      <c r="CG271" s="2">
        <f t="shared" si="28"/>
        <v>0</v>
      </c>
      <c r="CH271" s="2">
        <f t="shared" si="29"/>
        <v>0</v>
      </c>
      <c r="CI271" s="2"/>
      <c r="CJ271" s="20">
        <f t="shared" si="34"/>
        <v>0</v>
      </c>
    </row>
    <row r="272" spans="1:88" x14ac:dyDescent="0.25">
      <c r="A272" s="5"/>
      <c r="B272" s="5"/>
      <c r="C272" s="5"/>
      <c r="D272" s="5"/>
      <c r="E272" s="10">
        <f t="shared" si="30"/>
        <v>0</v>
      </c>
      <c r="F272" s="5"/>
      <c r="G272" s="3">
        <f t="shared" si="31"/>
        <v>0</v>
      </c>
      <c r="H272" s="25"/>
      <c r="I272" s="5"/>
      <c r="J272" s="5"/>
      <c r="AM272" s="9"/>
      <c r="AN272" s="5"/>
      <c r="AO272" s="5"/>
      <c r="AP272" s="5"/>
      <c r="AQ272" s="10">
        <f t="shared" si="32"/>
        <v>0</v>
      </c>
      <c r="AR272" s="5"/>
      <c r="AS272" s="3">
        <f t="shared" si="33"/>
        <v>0</v>
      </c>
      <c r="AT272" s="28"/>
      <c r="AU272" s="5"/>
      <c r="AV272" s="5"/>
      <c r="CE272" s="2"/>
      <c r="CF272" s="19"/>
      <c r="CG272" s="2">
        <f t="shared" si="28"/>
        <v>0</v>
      </c>
      <c r="CH272" s="2">
        <f t="shared" si="29"/>
        <v>0</v>
      </c>
      <c r="CI272" s="2"/>
      <c r="CJ272" s="20">
        <f t="shared" si="34"/>
        <v>0</v>
      </c>
    </row>
    <row r="273" spans="1:88" x14ac:dyDescent="0.25">
      <c r="A273" s="5"/>
      <c r="B273" s="5"/>
      <c r="C273" s="5"/>
      <c r="D273" s="5"/>
      <c r="E273" s="10">
        <f t="shared" si="30"/>
        <v>0</v>
      </c>
      <c r="F273" s="5"/>
      <c r="G273" s="3">
        <f t="shared" si="31"/>
        <v>0</v>
      </c>
      <c r="H273" s="25"/>
      <c r="I273" s="5"/>
      <c r="J273" s="5"/>
      <c r="AM273" s="9"/>
      <c r="AN273" s="5"/>
      <c r="AO273" s="5"/>
      <c r="AP273" s="5"/>
      <c r="AQ273" s="10">
        <f t="shared" si="32"/>
        <v>0</v>
      </c>
      <c r="AR273" s="5"/>
      <c r="AS273" s="3">
        <f t="shared" si="33"/>
        <v>0</v>
      </c>
      <c r="AT273" s="28"/>
      <c r="AU273" s="5"/>
      <c r="AV273" s="5"/>
      <c r="CE273" s="2"/>
      <c r="CF273" s="19"/>
      <c r="CG273" s="2">
        <f t="shared" si="28"/>
        <v>0</v>
      </c>
      <c r="CH273" s="2">
        <f t="shared" si="29"/>
        <v>0</v>
      </c>
      <c r="CI273" s="2"/>
      <c r="CJ273" s="20">
        <f t="shared" si="34"/>
        <v>0</v>
      </c>
    </row>
    <row r="274" spans="1:88" x14ac:dyDescent="0.25">
      <c r="A274" s="5"/>
      <c r="B274" s="5"/>
      <c r="C274" s="5"/>
      <c r="D274" s="5"/>
      <c r="E274" s="10">
        <f t="shared" si="30"/>
        <v>0</v>
      </c>
      <c r="F274" s="5"/>
      <c r="G274" s="3">
        <f t="shared" si="31"/>
        <v>0</v>
      </c>
      <c r="H274" s="25"/>
      <c r="I274" s="5"/>
      <c r="J274" s="5"/>
      <c r="AM274" s="9"/>
      <c r="AN274" s="5"/>
      <c r="AO274" s="5"/>
      <c r="AP274" s="5"/>
      <c r="AQ274" s="10">
        <f t="shared" si="32"/>
        <v>0</v>
      </c>
      <c r="AR274" s="5"/>
      <c r="AS274" s="3">
        <f t="shared" si="33"/>
        <v>0</v>
      </c>
      <c r="AT274" s="28"/>
      <c r="AU274" s="5"/>
      <c r="AV274" s="5"/>
      <c r="CE274" s="2"/>
      <c r="CF274" s="19"/>
      <c r="CG274" s="2">
        <f t="shared" si="28"/>
        <v>0</v>
      </c>
      <c r="CH274" s="2">
        <f t="shared" si="29"/>
        <v>0</v>
      </c>
      <c r="CI274" s="2"/>
      <c r="CJ274" s="20">
        <f t="shared" si="34"/>
        <v>0</v>
      </c>
    </row>
    <row r="275" spans="1:88" x14ac:dyDescent="0.25">
      <c r="A275" s="5"/>
      <c r="B275" s="5"/>
      <c r="C275" s="5"/>
      <c r="D275" s="5"/>
      <c r="E275" s="10">
        <f t="shared" si="30"/>
        <v>0</v>
      </c>
      <c r="F275" s="5"/>
      <c r="G275" s="3">
        <f t="shared" si="31"/>
        <v>0</v>
      </c>
      <c r="H275" s="25"/>
      <c r="I275" s="5"/>
      <c r="J275" s="5"/>
      <c r="AM275" s="9"/>
      <c r="AN275" s="5"/>
      <c r="AO275" s="5"/>
      <c r="AP275" s="5"/>
      <c r="AQ275" s="10">
        <f t="shared" si="32"/>
        <v>0</v>
      </c>
      <c r="AR275" s="5"/>
      <c r="AS275" s="3">
        <f t="shared" si="33"/>
        <v>0</v>
      </c>
      <c r="AT275" s="28"/>
      <c r="AU275" s="5"/>
      <c r="AV275" s="5"/>
      <c r="CE275" s="2"/>
      <c r="CF275" s="19"/>
      <c r="CG275" s="2">
        <f t="shared" si="28"/>
        <v>0</v>
      </c>
      <c r="CH275" s="2">
        <f t="shared" si="29"/>
        <v>0</v>
      </c>
      <c r="CI275" s="2"/>
      <c r="CJ275" s="20">
        <f t="shared" si="34"/>
        <v>0</v>
      </c>
    </row>
    <row r="276" spans="1:88" x14ac:dyDescent="0.25">
      <c r="A276" s="5"/>
      <c r="B276" s="5"/>
      <c r="C276" s="5"/>
      <c r="D276" s="5"/>
      <c r="E276" s="10">
        <f t="shared" si="30"/>
        <v>0</v>
      </c>
      <c r="F276" s="5"/>
      <c r="G276" s="3">
        <f t="shared" si="31"/>
        <v>0</v>
      </c>
      <c r="H276" s="25"/>
      <c r="I276" s="5"/>
      <c r="J276" s="5"/>
      <c r="AM276" s="9"/>
      <c r="AN276" s="5"/>
      <c r="AO276" s="5"/>
      <c r="AP276" s="5"/>
      <c r="AQ276" s="10">
        <f t="shared" si="32"/>
        <v>0</v>
      </c>
      <c r="AR276" s="5"/>
      <c r="AS276" s="3">
        <f t="shared" si="33"/>
        <v>0</v>
      </c>
      <c r="AT276" s="28"/>
      <c r="AU276" s="5"/>
      <c r="AV276" s="5"/>
      <c r="CE276" s="2"/>
      <c r="CF276" s="19"/>
      <c r="CG276" s="2">
        <f t="shared" si="28"/>
        <v>0</v>
      </c>
      <c r="CH276" s="2">
        <f t="shared" si="29"/>
        <v>0</v>
      </c>
      <c r="CI276" s="2"/>
      <c r="CJ276" s="20">
        <f t="shared" si="34"/>
        <v>0</v>
      </c>
    </row>
    <row r="277" spans="1:88" x14ac:dyDescent="0.25">
      <c r="A277" s="5"/>
      <c r="B277" s="5"/>
      <c r="C277" s="5"/>
      <c r="D277" s="5"/>
      <c r="E277" s="10">
        <f t="shared" si="30"/>
        <v>0</v>
      </c>
      <c r="F277" s="5"/>
      <c r="G277" s="3">
        <f t="shared" si="31"/>
        <v>0</v>
      </c>
      <c r="H277" s="25"/>
      <c r="I277" s="5"/>
      <c r="J277" s="5"/>
      <c r="AM277" s="9"/>
      <c r="AN277" s="5"/>
      <c r="AO277" s="5"/>
      <c r="AP277" s="5"/>
      <c r="AQ277" s="10">
        <f t="shared" si="32"/>
        <v>0</v>
      </c>
      <c r="AR277" s="5"/>
      <c r="AS277" s="3">
        <f t="shared" si="33"/>
        <v>0</v>
      </c>
      <c r="AT277" s="28"/>
      <c r="AU277" s="5"/>
      <c r="AV277" s="5"/>
      <c r="CE277" s="2"/>
      <c r="CF277" s="19"/>
      <c r="CG277" s="2">
        <f t="shared" si="28"/>
        <v>0</v>
      </c>
      <c r="CH277" s="2">
        <f t="shared" si="29"/>
        <v>0</v>
      </c>
      <c r="CI277" s="2"/>
      <c r="CJ277" s="20">
        <f t="shared" si="34"/>
        <v>0</v>
      </c>
    </row>
    <row r="278" spans="1:88" x14ac:dyDescent="0.25">
      <c r="A278" s="5"/>
      <c r="B278" s="5"/>
      <c r="C278" s="5"/>
      <c r="D278" s="5"/>
      <c r="E278" s="10">
        <f t="shared" si="30"/>
        <v>0</v>
      </c>
      <c r="F278" s="5"/>
      <c r="G278" s="3">
        <f t="shared" si="31"/>
        <v>0</v>
      </c>
      <c r="H278" s="25"/>
      <c r="I278" s="5"/>
      <c r="J278" s="5"/>
      <c r="AM278" s="9"/>
      <c r="AN278" s="5"/>
      <c r="AO278" s="5"/>
      <c r="AP278" s="5"/>
      <c r="AQ278" s="10">
        <f t="shared" si="32"/>
        <v>0</v>
      </c>
      <c r="AR278" s="5"/>
      <c r="AS278" s="3">
        <f t="shared" si="33"/>
        <v>0</v>
      </c>
      <c r="AT278" s="28"/>
      <c r="AU278" s="5"/>
      <c r="AV278" s="5"/>
      <c r="CE278" s="2"/>
      <c r="CF278" s="19"/>
      <c r="CG278" s="2">
        <f t="shared" si="28"/>
        <v>0</v>
      </c>
      <c r="CH278" s="2">
        <f t="shared" si="29"/>
        <v>0</v>
      </c>
      <c r="CI278" s="2"/>
      <c r="CJ278" s="20">
        <f t="shared" si="34"/>
        <v>0</v>
      </c>
    </row>
    <row r="279" spans="1:88" x14ac:dyDescent="0.25">
      <c r="A279" s="5"/>
      <c r="B279" s="5"/>
      <c r="C279" s="5"/>
      <c r="D279" s="5"/>
      <c r="E279" s="10">
        <f t="shared" si="30"/>
        <v>0</v>
      </c>
      <c r="F279" s="5"/>
      <c r="G279" s="3">
        <f t="shared" si="31"/>
        <v>0</v>
      </c>
      <c r="H279" s="25"/>
      <c r="I279" s="5"/>
      <c r="J279" s="5"/>
      <c r="AM279" s="9"/>
      <c r="AN279" s="5"/>
      <c r="AO279" s="5"/>
      <c r="AP279" s="5"/>
      <c r="AQ279" s="10">
        <f t="shared" si="32"/>
        <v>0</v>
      </c>
      <c r="AR279" s="5"/>
      <c r="AS279" s="3">
        <f t="shared" si="33"/>
        <v>0</v>
      </c>
      <c r="AT279" s="28"/>
      <c r="AU279" s="5"/>
      <c r="AV279" s="5"/>
      <c r="CE279" s="2"/>
      <c r="CF279" s="19"/>
      <c r="CG279" s="2">
        <f t="shared" si="28"/>
        <v>0</v>
      </c>
      <c r="CH279" s="2">
        <f t="shared" si="29"/>
        <v>0</v>
      </c>
      <c r="CI279" s="2"/>
      <c r="CJ279" s="20">
        <f t="shared" si="34"/>
        <v>0</v>
      </c>
    </row>
    <row r="280" spans="1:88" x14ac:dyDescent="0.25">
      <c r="A280" s="5"/>
      <c r="B280" s="5"/>
      <c r="C280" s="5"/>
      <c r="D280" s="5"/>
      <c r="E280" s="10">
        <f t="shared" si="30"/>
        <v>0</v>
      </c>
      <c r="F280" s="5"/>
      <c r="G280" s="3">
        <f t="shared" si="31"/>
        <v>0</v>
      </c>
      <c r="H280" s="25"/>
      <c r="I280" s="5"/>
      <c r="J280" s="5"/>
      <c r="AM280" s="9"/>
      <c r="AN280" s="5"/>
      <c r="AO280" s="5"/>
      <c r="AP280" s="5"/>
      <c r="AQ280" s="10">
        <f t="shared" si="32"/>
        <v>0</v>
      </c>
      <c r="AR280" s="5"/>
      <c r="AS280" s="3">
        <f t="shared" si="33"/>
        <v>0</v>
      </c>
      <c r="AT280" s="28"/>
      <c r="AU280" s="5"/>
      <c r="AV280" s="5"/>
      <c r="CE280" s="2"/>
      <c r="CF280" s="19"/>
      <c r="CG280" s="2">
        <f t="shared" si="28"/>
        <v>0</v>
      </c>
      <c r="CH280" s="2">
        <f t="shared" si="29"/>
        <v>0</v>
      </c>
      <c r="CI280" s="2"/>
      <c r="CJ280" s="20">
        <f t="shared" si="34"/>
        <v>0</v>
      </c>
    </row>
    <row r="281" spans="1:88" x14ac:dyDescent="0.25">
      <c r="A281" s="5"/>
      <c r="B281" s="5"/>
      <c r="C281" s="5"/>
      <c r="D281" s="5"/>
      <c r="E281" s="10">
        <f t="shared" si="30"/>
        <v>0</v>
      </c>
      <c r="F281" s="5"/>
      <c r="G281" s="3">
        <f t="shared" si="31"/>
        <v>0</v>
      </c>
      <c r="H281" s="25"/>
      <c r="I281" s="5"/>
      <c r="J281" s="5"/>
      <c r="AM281" s="9"/>
      <c r="AN281" s="5"/>
      <c r="AO281" s="5"/>
      <c r="AP281" s="5"/>
      <c r="AQ281" s="10">
        <f t="shared" si="32"/>
        <v>0</v>
      </c>
      <c r="AR281" s="5"/>
      <c r="AS281" s="3">
        <f t="shared" si="33"/>
        <v>0</v>
      </c>
      <c r="AT281" s="28"/>
      <c r="AU281" s="5"/>
      <c r="AV281" s="5"/>
      <c r="CE281" s="2"/>
      <c r="CF281" s="19"/>
      <c r="CG281" s="2">
        <f t="shared" si="28"/>
        <v>0</v>
      </c>
      <c r="CH281" s="2">
        <f t="shared" si="29"/>
        <v>0</v>
      </c>
      <c r="CI281" s="2"/>
      <c r="CJ281" s="20">
        <f t="shared" si="34"/>
        <v>0</v>
      </c>
    </row>
    <row r="282" spans="1:88" x14ac:dyDescent="0.25">
      <c r="A282" s="5"/>
      <c r="B282" s="5"/>
      <c r="C282" s="5"/>
      <c r="D282" s="5"/>
      <c r="E282" s="10">
        <f t="shared" si="30"/>
        <v>0</v>
      </c>
      <c r="F282" s="5"/>
      <c r="G282" s="3">
        <f t="shared" si="31"/>
        <v>0</v>
      </c>
      <c r="H282" s="25"/>
      <c r="I282" s="5"/>
      <c r="J282" s="5"/>
      <c r="AM282" s="9"/>
      <c r="AN282" s="5"/>
      <c r="AO282" s="5"/>
      <c r="AP282" s="5"/>
      <c r="AQ282" s="10">
        <f t="shared" si="32"/>
        <v>0</v>
      </c>
      <c r="AR282" s="5"/>
      <c r="AS282" s="3">
        <f t="shared" si="33"/>
        <v>0</v>
      </c>
      <c r="AT282" s="28"/>
      <c r="AU282" s="5"/>
      <c r="AV282" s="5"/>
      <c r="CE282" s="2"/>
      <c r="CF282" s="19"/>
      <c r="CG282" s="2">
        <f t="shared" si="28"/>
        <v>0</v>
      </c>
      <c r="CH282" s="2">
        <f t="shared" si="29"/>
        <v>0</v>
      </c>
      <c r="CI282" s="2"/>
      <c r="CJ282" s="20">
        <f t="shared" si="34"/>
        <v>0</v>
      </c>
    </row>
    <row r="283" spans="1:88" x14ac:dyDescent="0.25">
      <c r="A283" s="5"/>
      <c r="B283" s="5"/>
      <c r="C283" s="5"/>
      <c r="D283" s="5"/>
      <c r="E283" s="10">
        <f t="shared" si="30"/>
        <v>0</v>
      </c>
      <c r="F283" s="5"/>
      <c r="G283" s="3">
        <f t="shared" si="31"/>
        <v>0</v>
      </c>
      <c r="H283" s="25"/>
      <c r="I283" s="5"/>
      <c r="J283" s="5"/>
      <c r="AM283" s="9"/>
      <c r="AN283" s="5"/>
      <c r="AO283" s="5"/>
      <c r="AP283" s="5"/>
      <c r="AQ283" s="10">
        <f t="shared" si="32"/>
        <v>0</v>
      </c>
      <c r="AR283" s="5"/>
      <c r="AS283" s="3">
        <f t="shared" si="33"/>
        <v>0</v>
      </c>
      <c r="AT283" s="28"/>
      <c r="AU283" s="5"/>
      <c r="AV283" s="5"/>
      <c r="CE283" s="2"/>
      <c r="CF283" s="19"/>
      <c r="CG283" s="2">
        <f t="shared" si="28"/>
        <v>0</v>
      </c>
      <c r="CH283" s="2">
        <f t="shared" si="29"/>
        <v>0</v>
      </c>
      <c r="CI283" s="2"/>
      <c r="CJ283" s="20">
        <f t="shared" si="34"/>
        <v>0</v>
      </c>
    </row>
    <row r="284" spans="1:88" x14ac:dyDescent="0.25">
      <c r="A284" s="5"/>
      <c r="B284" s="5"/>
      <c r="C284" s="5"/>
      <c r="D284" s="5"/>
      <c r="E284" s="10">
        <f t="shared" si="30"/>
        <v>0</v>
      </c>
      <c r="F284" s="5"/>
      <c r="G284" s="3">
        <f t="shared" si="31"/>
        <v>0</v>
      </c>
      <c r="H284" s="25"/>
      <c r="I284" s="5"/>
      <c r="J284" s="5"/>
      <c r="AM284" s="9"/>
      <c r="AN284" s="5"/>
      <c r="AO284" s="5"/>
      <c r="AP284" s="5"/>
      <c r="AQ284" s="10">
        <f t="shared" si="32"/>
        <v>0</v>
      </c>
      <c r="AR284" s="5"/>
      <c r="AS284" s="3">
        <f t="shared" si="33"/>
        <v>0</v>
      </c>
      <c r="AT284" s="28"/>
      <c r="AU284" s="5"/>
      <c r="AV284" s="5"/>
      <c r="CE284" s="2"/>
      <c r="CF284" s="19"/>
      <c r="CG284" s="2">
        <f t="shared" si="28"/>
        <v>0</v>
      </c>
      <c r="CH284" s="2">
        <f t="shared" si="29"/>
        <v>0</v>
      </c>
      <c r="CI284" s="2"/>
      <c r="CJ284" s="20">
        <f t="shared" si="34"/>
        <v>0</v>
      </c>
    </row>
    <row r="285" spans="1:88" x14ac:dyDescent="0.25">
      <c r="A285" s="5"/>
      <c r="B285" s="5"/>
      <c r="C285" s="5"/>
      <c r="D285" s="5"/>
      <c r="E285" s="10">
        <f t="shared" si="30"/>
        <v>0</v>
      </c>
      <c r="F285" s="5"/>
      <c r="G285" s="3">
        <f t="shared" si="31"/>
        <v>0</v>
      </c>
      <c r="H285" s="25"/>
      <c r="I285" s="5"/>
      <c r="J285" s="5"/>
      <c r="AM285" s="9"/>
      <c r="AN285" s="5"/>
      <c r="AO285" s="5"/>
      <c r="AP285" s="5"/>
      <c r="AQ285" s="10">
        <f t="shared" si="32"/>
        <v>0</v>
      </c>
      <c r="AR285" s="5"/>
      <c r="AS285" s="3">
        <f t="shared" si="33"/>
        <v>0</v>
      </c>
      <c r="AT285" s="28"/>
      <c r="AU285" s="5"/>
      <c r="AV285" s="5"/>
      <c r="CE285" s="2"/>
      <c r="CF285" s="19"/>
      <c r="CG285" s="2">
        <f t="shared" si="28"/>
        <v>0</v>
      </c>
      <c r="CH285" s="2">
        <f t="shared" si="29"/>
        <v>0</v>
      </c>
      <c r="CI285" s="2"/>
      <c r="CJ285" s="20">
        <f t="shared" si="34"/>
        <v>0</v>
      </c>
    </row>
    <row r="286" spans="1:88" x14ac:dyDescent="0.25">
      <c r="A286" s="5"/>
      <c r="B286" s="5"/>
      <c r="C286" s="5"/>
      <c r="D286" s="5"/>
      <c r="E286" s="10">
        <f t="shared" si="30"/>
        <v>0</v>
      </c>
      <c r="F286" s="5"/>
      <c r="G286" s="3">
        <f t="shared" si="31"/>
        <v>0</v>
      </c>
      <c r="H286" s="25"/>
      <c r="I286" s="5"/>
      <c r="J286" s="5"/>
      <c r="AM286" s="9"/>
      <c r="AN286" s="5"/>
      <c r="AO286" s="5"/>
      <c r="AP286" s="5"/>
      <c r="AQ286" s="10">
        <f t="shared" si="32"/>
        <v>0</v>
      </c>
      <c r="AR286" s="5"/>
      <c r="AS286" s="3">
        <f t="shared" si="33"/>
        <v>0</v>
      </c>
      <c r="AT286" s="28"/>
      <c r="AU286" s="5"/>
      <c r="AV286" s="5"/>
      <c r="CE286" s="2"/>
      <c r="CF286" s="19"/>
      <c r="CG286" s="2">
        <f t="shared" si="28"/>
        <v>0</v>
      </c>
      <c r="CH286" s="2">
        <f t="shared" si="29"/>
        <v>0</v>
      </c>
      <c r="CI286" s="2"/>
      <c r="CJ286" s="20">
        <f t="shared" si="34"/>
        <v>0</v>
      </c>
    </row>
    <row r="287" spans="1:88" x14ac:dyDescent="0.25">
      <c r="A287" s="5"/>
      <c r="B287" s="5"/>
      <c r="C287" s="5"/>
      <c r="D287" s="5"/>
      <c r="E287" s="10">
        <f t="shared" si="30"/>
        <v>0</v>
      </c>
      <c r="F287" s="5"/>
      <c r="G287" s="3">
        <f t="shared" si="31"/>
        <v>0</v>
      </c>
      <c r="H287" s="25"/>
      <c r="I287" s="5"/>
      <c r="J287" s="5"/>
      <c r="AM287" s="9"/>
      <c r="AN287" s="5"/>
      <c r="AO287" s="5"/>
      <c r="AP287" s="5"/>
      <c r="AQ287" s="10">
        <f t="shared" si="32"/>
        <v>0</v>
      </c>
      <c r="AR287" s="5"/>
      <c r="AS287" s="3">
        <f t="shared" si="33"/>
        <v>0</v>
      </c>
      <c r="AT287" s="28"/>
      <c r="AU287" s="5"/>
      <c r="AV287" s="5"/>
      <c r="CE287" s="2"/>
      <c r="CF287" s="19"/>
      <c r="CG287" s="2">
        <f t="shared" si="28"/>
        <v>0</v>
      </c>
      <c r="CH287" s="2">
        <f t="shared" si="29"/>
        <v>0</v>
      </c>
      <c r="CI287" s="2"/>
      <c r="CJ287" s="20">
        <f t="shared" si="34"/>
        <v>0</v>
      </c>
    </row>
    <row r="288" spans="1:88" x14ac:dyDescent="0.25">
      <c r="A288" s="5"/>
      <c r="B288" s="5"/>
      <c r="C288" s="5"/>
      <c r="D288" s="5"/>
      <c r="E288" s="10">
        <f t="shared" si="30"/>
        <v>0</v>
      </c>
      <c r="F288" s="5"/>
      <c r="G288" s="3">
        <f t="shared" si="31"/>
        <v>0</v>
      </c>
      <c r="H288" s="25"/>
      <c r="I288" s="5"/>
      <c r="J288" s="5"/>
      <c r="AM288" s="9"/>
      <c r="AN288" s="5"/>
      <c r="AO288" s="5"/>
      <c r="AP288" s="5"/>
      <c r="AQ288" s="10">
        <f t="shared" si="32"/>
        <v>0</v>
      </c>
      <c r="AR288" s="5"/>
      <c r="AS288" s="3">
        <f t="shared" si="33"/>
        <v>0</v>
      </c>
      <c r="AT288" s="28"/>
      <c r="AU288" s="5"/>
      <c r="AV288" s="5"/>
      <c r="CE288" s="2"/>
      <c r="CF288" s="19"/>
      <c r="CG288" s="2">
        <f t="shared" si="28"/>
        <v>0</v>
      </c>
      <c r="CH288" s="2">
        <f t="shared" si="29"/>
        <v>0</v>
      </c>
      <c r="CI288" s="2"/>
      <c r="CJ288" s="20">
        <f t="shared" si="34"/>
        <v>0</v>
      </c>
    </row>
    <row r="289" spans="1:88" x14ac:dyDescent="0.25">
      <c r="A289" s="5"/>
      <c r="B289" s="5"/>
      <c r="C289" s="5"/>
      <c r="D289" s="5"/>
      <c r="E289" s="10">
        <f t="shared" si="30"/>
        <v>0</v>
      </c>
      <c r="F289" s="5"/>
      <c r="G289" s="3">
        <f t="shared" si="31"/>
        <v>0</v>
      </c>
      <c r="H289" s="25"/>
      <c r="I289" s="5"/>
      <c r="J289" s="5"/>
      <c r="AM289" s="9"/>
      <c r="AN289" s="5"/>
      <c r="AO289" s="5"/>
      <c r="AP289" s="5"/>
      <c r="AQ289" s="10">
        <f t="shared" si="32"/>
        <v>0</v>
      </c>
      <c r="AR289" s="5"/>
      <c r="AS289" s="3">
        <f t="shared" si="33"/>
        <v>0</v>
      </c>
      <c r="AT289" s="28"/>
      <c r="AU289" s="5"/>
      <c r="AV289" s="5"/>
      <c r="CE289" s="2"/>
      <c r="CF289" s="19"/>
      <c r="CG289" s="2">
        <f t="shared" si="28"/>
        <v>0</v>
      </c>
      <c r="CH289" s="2">
        <f t="shared" si="29"/>
        <v>0</v>
      </c>
      <c r="CI289" s="2"/>
      <c r="CJ289" s="20">
        <f t="shared" si="34"/>
        <v>0</v>
      </c>
    </row>
    <row r="290" spans="1:88" x14ac:dyDescent="0.25">
      <c r="A290" s="5"/>
      <c r="B290" s="5"/>
      <c r="C290" s="5"/>
      <c r="D290" s="5"/>
      <c r="E290" s="10">
        <f t="shared" si="30"/>
        <v>0</v>
      </c>
      <c r="F290" s="5"/>
      <c r="G290" s="3">
        <f t="shared" si="31"/>
        <v>0</v>
      </c>
      <c r="H290" s="25"/>
      <c r="I290" s="5"/>
      <c r="J290" s="5"/>
      <c r="AM290" s="9"/>
      <c r="AN290" s="5"/>
      <c r="AO290" s="5"/>
      <c r="AP290" s="5"/>
      <c r="AQ290" s="10">
        <f t="shared" si="32"/>
        <v>0</v>
      </c>
      <c r="AR290" s="5"/>
      <c r="AS290" s="3">
        <f t="shared" si="33"/>
        <v>0</v>
      </c>
      <c r="AT290" s="28"/>
      <c r="AU290" s="5"/>
      <c r="AV290" s="5"/>
      <c r="CE290" s="2"/>
      <c r="CF290" s="19"/>
      <c r="CG290" s="2">
        <f t="shared" si="28"/>
        <v>0</v>
      </c>
      <c r="CH290" s="2">
        <f t="shared" si="29"/>
        <v>0</v>
      </c>
      <c r="CI290" s="2"/>
      <c r="CJ290" s="20">
        <f t="shared" si="34"/>
        <v>0</v>
      </c>
    </row>
    <row r="291" spans="1:88" x14ac:dyDescent="0.25">
      <c r="A291" s="5"/>
      <c r="B291" s="5"/>
      <c r="C291" s="5"/>
      <c r="D291" s="5"/>
      <c r="E291" s="10">
        <f t="shared" si="30"/>
        <v>0</v>
      </c>
      <c r="F291" s="5"/>
      <c r="G291" s="3">
        <f t="shared" si="31"/>
        <v>0</v>
      </c>
      <c r="H291" s="25"/>
      <c r="I291" s="5"/>
      <c r="J291" s="5"/>
      <c r="AM291" s="9"/>
      <c r="AN291" s="5"/>
      <c r="AO291" s="5"/>
      <c r="AP291" s="5"/>
      <c r="AQ291" s="10">
        <f t="shared" si="32"/>
        <v>0</v>
      </c>
      <c r="AR291" s="5"/>
      <c r="AS291" s="3">
        <f t="shared" si="33"/>
        <v>0</v>
      </c>
      <c r="AT291" s="28"/>
      <c r="AU291" s="5"/>
      <c r="AV291" s="5"/>
      <c r="CE291" s="2"/>
      <c r="CF291" s="19"/>
      <c r="CG291" s="2">
        <f t="shared" si="28"/>
        <v>0</v>
      </c>
      <c r="CH291" s="2">
        <f t="shared" si="29"/>
        <v>0</v>
      </c>
      <c r="CI291" s="2"/>
      <c r="CJ291" s="20">
        <f t="shared" si="34"/>
        <v>0</v>
      </c>
    </row>
    <row r="292" spans="1:88" x14ac:dyDescent="0.25">
      <c r="A292" s="5"/>
      <c r="B292" s="5"/>
      <c r="C292" s="5"/>
      <c r="D292" s="5"/>
      <c r="E292" s="10">
        <f t="shared" si="30"/>
        <v>0</v>
      </c>
      <c r="F292" s="5"/>
      <c r="G292" s="3">
        <f t="shared" si="31"/>
        <v>0</v>
      </c>
      <c r="H292" s="25"/>
      <c r="I292" s="5"/>
      <c r="J292" s="5"/>
      <c r="AM292" s="9"/>
      <c r="AN292" s="5"/>
      <c r="AO292" s="5"/>
      <c r="AP292" s="5"/>
      <c r="AQ292" s="10">
        <f t="shared" si="32"/>
        <v>0</v>
      </c>
      <c r="AR292" s="5"/>
      <c r="AS292" s="3">
        <f t="shared" si="33"/>
        <v>0</v>
      </c>
      <c r="AT292" s="28"/>
      <c r="AU292" s="5"/>
      <c r="AV292" s="5"/>
      <c r="CE292" s="2"/>
      <c r="CF292" s="19"/>
      <c r="CG292" s="2">
        <f t="shared" si="28"/>
        <v>0</v>
      </c>
      <c r="CH292" s="2">
        <f t="shared" si="29"/>
        <v>0</v>
      </c>
      <c r="CI292" s="2"/>
      <c r="CJ292" s="20">
        <f t="shared" si="34"/>
        <v>0</v>
      </c>
    </row>
    <row r="293" spans="1:88" x14ac:dyDescent="0.25">
      <c r="A293" s="5"/>
      <c r="B293" s="5"/>
      <c r="C293" s="5"/>
      <c r="D293" s="5"/>
      <c r="E293" s="10">
        <f t="shared" si="30"/>
        <v>0</v>
      </c>
      <c r="F293" s="5"/>
      <c r="G293" s="3">
        <f t="shared" si="31"/>
        <v>0</v>
      </c>
      <c r="H293" s="25"/>
      <c r="I293" s="5"/>
      <c r="J293" s="5"/>
      <c r="AM293" s="9"/>
      <c r="AN293" s="5"/>
      <c r="AO293" s="5"/>
      <c r="AP293" s="5"/>
      <c r="AQ293" s="10">
        <f t="shared" si="32"/>
        <v>0</v>
      </c>
      <c r="AR293" s="5"/>
      <c r="AS293" s="3">
        <f t="shared" si="33"/>
        <v>0</v>
      </c>
      <c r="AT293" s="28"/>
      <c r="AU293" s="5"/>
      <c r="AV293" s="5"/>
      <c r="CE293" s="2"/>
      <c r="CF293" s="19"/>
      <c r="CG293" s="2">
        <f t="shared" si="28"/>
        <v>0</v>
      </c>
      <c r="CH293" s="2">
        <f t="shared" si="29"/>
        <v>0</v>
      </c>
      <c r="CI293" s="2"/>
      <c r="CJ293" s="20">
        <f t="shared" si="34"/>
        <v>0</v>
      </c>
    </row>
    <row r="294" spans="1:88" x14ac:dyDescent="0.25">
      <c r="A294" s="5"/>
      <c r="B294" s="5"/>
      <c r="C294" s="5"/>
      <c r="D294" s="5"/>
      <c r="E294" s="10">
        <f t="shared" si="30"/>
        <v>0</v>
      </c>
      <c r="F294" s="5"/>
      <c r="G294" s="3">
        <f t="shared" si="31"/>
        <v>0</v>
      </c>
      <c r="H294" s="25"/>
      <c r="I294" s="5"/>
      <c r="J294" s="5"/>
      <c r="AM294" s="9"/>
      <c r="AN294" s="5"/>
      <c r="AO294" s="5"/>
      <c r="AP294" s="5"/>
      <c r="AQ294" s="10">
        <f t="shared" si="32"/>
        <v>0</v>
      </c>
      <c r="AR294" s="5"/>
      <c r="AS294" s="3">
        <f t="shared" si="33"/>
        <v>0</v>
      </c>
      <c r="AT294" s="28"/>
      <c r="AU294" s="5"/>
      <c r="AV294" s="5"/>
      <c r="CE294" s="2"/>
      <c r="CF294" s="19"/>
      <c r="CG294" s="2">
        <f t="shared" si="28"/>
        <v>0</v>
      </c>
      <c r="CH294" s="2">
        <f t="shared" si="29"/>
        <v>0</v>
      </c>
      <c r="CI294" s="2"/>
      <c r="CJ294" s="20">
        <f t="shared" si="34"/>
        <v>0</v>
      </c>
    </row>
    <row r="295" spans="1:88" x14ac:dyDescent="0.25">
      <c r="A295" s="5"/>
      <c r="B295" s="5"/>
      <c r="C295" s="5"/>
      <c r="D295" s="5"/>
      <c r="E295" s="10">
        <f t="shared" si="30"/>
        <v>0</v>
      </c>
      <c r="F295" s="5"/>
      <c r="G295" s="3">
        <f t="shared" si="31"/>
        <v>0</v>
      </c>
      <c r="H295" s="25"/>
      <c r="I295" s="5"/>
      <c r="J295" s="5"/>
      <c r="AM295" s="9"/>
      <c r="AN295" s="5"/>
      <c r="AO295" s="5"/>
      <c r="AP295" s="5"/>
      <c r="AQ295" s="10">
        <f t="shared" si="32"/>
        <v>0</v>
      </c>
      <c r="AR295" s="5"/>
      <c r="AS295" s="3">
        <f t="shared" si="33"/>
        <v>0</v>
      </c>
      <c r="AT295" s="28"/>
      <c r="AU295" s="5"/>
      <c r="AV295" s="5"/>
      <c r="CE295" s="2"/>
      <c r="CF295" s="19"/>
      <c r="CG295" s="2">
        <f t="shared" si="28"/>
        <v>0</v>
      </c>
      <c r="CH295" s="2">
        <f t="shared" si="29"/>
        <v>0</v>
      </c>
      <c r="CI295" s="2"/>
      <c r="CJ295" s="20">
        <f t="shared" si="34"/>
        <v>0</v>
      </c>
    </row>
    <row r="296" spans="1:88" x14ac:dyDescent="0.25">
      <c r="A296" s="5"/>
      <c r="B296" s="5"/>
      <c r="C296" s="5"/>
      <c r="D296" s="5"/>
      <c r="E296" s="10">
        <f t="shared" si="30"/>
        <v>0</v>
      </c>
      <c r="F296" s="5"/>
      <c r="G296" s="3">
        <f t="shared" si="31"/>
        <v>0</v>
      </c>
      <c r="H296" s="25"/>
      <c r="I296" s="5"/>
      <c r="J296" s="5"/>
      <c r="AM296" s="9"/>
      <c r="AN296" s="5"/>
      <c r="AO296" s="5"/>
      <c r="AP296" s="5"/>
      <c r="AQ296" s="10">
        <f t="shared" si="32"/>
        <v>0</v>
      </c>
      <c r="AR296" s="5"/>
      <c r="AS296" s="3">
        <f t="shared" si="33"/>
        <v>0</v>
      </c>
      <c r="AT296" s="28"/>
      <c r="AU296" s="5"/>
      <c r="AV296" s="5"/>
      <c r="CE296" s="2"/>
      <c r="CF296" s="19"/>
      <c r="CG296" s="2">
        <f t="shared" si="28"/>
        <v>0</v>
      </c>
      <c r="CH296" s="2">
        <f t="shared" si="29"/>
        <v>0</v>
      </c>
      <c r="CI296" s="2"/>
      <c r="CJ296" s="20">
        <f t="shared" si="34"/>
        <v>0</v>
      </c>
    </row>
    <row r="297" spans="1:88" x14ac:dyDescent="0.25">
      <c r="A297" s="5"/>
      <c r="B297" s="5"/>
      <c r="C297" s="5"/>
      <c r="D297" s="5"/>
      <c r="E297" s="10">
        <f t="shared" si="30"/>
        <v>0</v>
      </c>
      <c r="F297" s="5"/>
      <c r="G297" s="3">
        <f t="shared" si="31"/>
        <v>0</v>
      </c>
      <c r="H297" s="25"/>
      <c r="I297" s="5"/>
      <c r="J297" s="5"/>
      <c r="AM297" s="9"/>
      <c r="AN297" s="5"/>
      <c r="AO297" s="5"/>
      <c r="AP297" s="5"/>
      <c r="AQ297" s="10">
        <f t="shared" si="32"/>
        <v>0</v>
      </c>
      <c r="AR297" s="5"/>
      <c r="AS297" s="3">
        <f t="shared" si="33"/>
        <v>0</v>
      </c>
      <c r="AT297" s="28"/>
      <c r="AU297" s="5"/>
      <c r="AV297" s="5"/>
      <c r="CE297" s="2"/>
      <c r="CF297" s="19"/>
      <c r="CG297" s="2">
        <f t="shared" si="28"/>
        <v>0</v>
      </c>
      <c r="CH297" s="2">
        <f t="shared" si="29"/>
        <v>0</v>
      </c>
      <c r="CI297" s="2"/>
      <c r="CJ297" s="20">
        <f t="shared" si="34"/>
        <v>0</v>
      </c>
    </row>
    <row r="298" spans="1:88" x14ac:dyDescent="0.25">
      <c r="A298" s="5"/>
      <c r="B298" s="5"/>
      <c r="C298" s="5"/>
      <c r="D298" s="5"/>
      <c r="E298" s="10">
        <f t="shared" si="30"/>
        <v>0</v>
      </c>
      <c r="F298" s="5"/>
      <c r="G298" s="3">
        <f t="shared" si="31"/>
        <v>0</v>
      </c>
      <c r="H298" s="25"/>
      <c r="I298" s="5"/>
      <c r="J298" s="5"/>
      <c r="AM298" s="9"/>
      <c r="AN298" s="5"/>
      <c r="AO298" s="5"/>
      <c r="AP298" s="5"/>
      <c r="AQ298" s="10">
        <f t="shared" si="32"/>
        <v>0</v>
      </c>
      <c r="AR298" s="5"/>
      <c r="AS298" s="3">
        <f t="shared" si="33"/>
        <v>0</v>
      </c>
      <c r="AT298" s="28"/>
      <c r="AU298" s="5"/>
      <c r="AV298" s="5"/>
      <c r="CE298" s="2"/>
      <c r="CF298" s="19"/>
      <c r="CG298" s="2">
        <f t="shared" si="28"/>
        <v>0</v>
      </c>
      <c r="CH298" s="2">
        <f t="shared" si="29"/>
        <v>0</v>
      </c>
      <c r="CI298" s="2"/>
      <c r="CJ298" s="20">
        <f t="shared" si="34"/>
        <v>0</v>
      </c>
    </row>
    <row r="299" spans="1:88" x14ac:dyDescent="0.25">
      <c r="A299" s="5"/>
      <c r="B299" s="5"/>
      <c r="C299" s="5"/>
      <c r="D299" s="5"/>
      <c r="E299" s="10">
        <f t="shared" si="30"/>
        <v>0</v>
      </c>
      <c r="F299" s="5"/>
      <c r="G299" s="3">
        <f t="shared" si="31"/>
        <v>0</v>
      </c>
      <c r="H299" s="25"/>
      <c r="I299" s="5"/>
      <c r="J299" s="8"/>
      <c r="AM299" s="9"/>
      <c r="AN299" s="5"/>
      <c r="AO299" s="5"/>
      <c r="AP299" s="5"/>
      <c r="AQ299" s="10">
        <f t="shared" si="32"/>
        <v>0</v>
      </c>
      <c r="AR299" s="5"/>
      <c r="AS299" s="3">
        <f t="shared" si="33"/>
        <v>0</v>
      </c>
      <c r="AT299" s="28"/>
      <c r="AU299" s="5"/>
      <c r="AV299" s="5"/>
      <c r="CE299" s="2"/>
      <c r="CF299" s="19"/>
      <c r="CG299" s="2">
        <f t="shared" si="28"/>
        <v>0</v>
      </c>
      <c r="CH299" s="2">
        <f t="shared" si="29"/>
        <v>0</v>
      </c>
      <c r="CI299" s="2"/>
      <c r="CJ299" s="20">
        <f t="shared" si="34"/>
        <v>0</v>
      </c>
    </row>
    <row r="300" spans="1:88" x14ac:dyDescent="0.25">
      <c r="A300" s="5"/>
      <c r="B300" s="5"/>
      <c r="C300" s="5"/>
      <c r="D300" s="5"/>
      <c r="E300" s="10">
        <f t="shared" si="30"/>
        <v>0</v>
      </c>
      <c r="F300" s="5"/>
      <c r="G300" s="3">
        <f t="shared" si="31"/>
        <v>0</v>
      </c>
      <c r="H300" s="25"/>
      <c r="I300" s="5"/>
      <c r="J300" s="8"/>
      <c r="AM300" s="9"/>
      <c r="AN300" s="5"/>
      <c r="AO300" s="5"/>
      <c r="AP300" s="5"/>
      <c r="AQ300" s="10">
        <f t="shared" si="32"/>
        <v>0</v>
      </c>
      <c r="AR300" s="5"/>
      <c r="AS300" s="3">
        <f t="shared" si="33"/>
        <v>0</v>
      </c>
      <c r="AT300" s="28"/>
      <c r="AU300" s="5"/>
      <c r="AV300" s="8"/>
      <c r="CE300" s="2"/>
      <c r="CF300" s="19"/>
      <c r="CG300" s="2">
        <f t="shared" si="28"/>
        <v>0</v>
      </c>
      <c r="CH300" s="2">
        <f t="shared" si="29"/>
        <v>0</v>
      </c>
      <c r="CI300" s="2"/>
      <c r="CJ300" s="20">
        <f t="shared" si="34"/>
        <v>0</v>
      </c>
    </row>
    <row r="301" spans="1:88" x14ac:dyDescent="0.25">
      <c r="A301" s="5"/>
      <c r="B301" s="5"/>
      <c r="C301" s="5"/>
      <c r="D301" s="5"/>
      <c r="E301" s="10">
        <f t="shared" si="30"/>
        <v>0</v>
      </c>
      <c r="F301" s="5"/>
      <c r="G301" s="3">
        <f t="shared" si="31"/>
        <v>0</v>
      </c>
      <c r="H301" s="25"/>
      <c r="I301" s="5"/>
      <c r="J301" s="8"/>
      <c r="AM301" s="9"/>
      <c r="AN301" s="5"/>
      <c r="AO301" s="5"/>
      <c r="AP301" s="5"/>
      <c r="AQ301" s="10">
        <f t="shared" si="32"/>
        <v>0</v>
      </c>
      <c r="AR301" s="5"/>
      <c r="AS301" s="3">
        <f t="shared" si="33"/>
        <v>0</v>
      </c>
      <c r="AT301" s="28"/>
      <c r="AU301" s="5"/>
      <c r="AV301" s="8"/>
      <c r="CE301" s="2"/>
      <c r="CF301" s="19"/>
      <c r="CG301" s="2">
        <f t="shared" si="28"/>
        <v>0</v>
      </c>
      <c r="CH301" s="2">
        <f t="shared" si="29"/>
        <v>0</v>
      </c>
      <c r="CI301" s="2"/>
      <c r="CJ301" s="20">
        <f t="shared" si="34"/>
        <v>0</v>
      </c>
    </row>
    <row r="302" spans="1:88" x14ac:dyDescent="0.25">
      <c r="A302" s="5"/>
      <c r="B302" s="5"/>
      <c r="C302" s="5"/>
      <c r="D302" s="5"/>
      <c r="E302" s="10">
        <f t="shared" si="30"/>
        <v>0</v>
      </c>
      <c r="F302" s="5"/>
      <c r="G302" s="3">
        <f t="shared" si="31"/>
        <v>0</v>
      </c>
      <c r="H302" s="25"/>
      <c r="I302" s="5"/>
      <c r="J302" s="8"/>
      <c r="AM302" s="9"/>
      <c r="AN302" s="5"/>
      <c r="AO302" s="5"/>
      <c r="AP302" s="5"/>
      <c r="AQ302" s="10">
        <f t="shared" si="32"/>
        <v>0</v>
      </c>
      <c r="AR302" s="5"/>
      <c r="AS302" s="3">
        <f t="shared" si="33"/>
        <v>0</v>
      </c>
      <c r="AT302" s="28"/>
      <c r="AU302" s="5"/>
      <c r="AV302" s="8"/>
      <c r="CE302" s="2"/>
      <c r="CF302" s="19"/>
      <c r="CG302" s="2">
        <f t="shared" si="28"/>
        <v>0</v>
      </c>
      <c r="CH302" s="2">
        <f t="shared" si="29"/>
        <v>0</v>
      </c>
      <c r="CI302" s="2"/>
      <c r="CJ302" s="20">
        <f t="shared" si="34"/>
        <v>0</v>
      </c>
    </row>
    <row r="303" spans="1:88" x14ac:dyDescent="0.25">
      <c r="A303" s="5"/>
      <c r="B303" s="5"/>
      <c r="C303" s="5"/>
      <c r="D303" s="5"/>
      <c r="E303" s="10">
        <f t="shared" si="30"/>
        <v>0</v>
      </c>
      <c r="F303" s="5"/>
      <c r="G303" s="3">
        <f t="shared" si="31"/>
        <v>0</v>
      </c>
      <c r="H303" s="25"/>
      <c r="I303" s="5"/>
      <c r="J303" s="8"/>
      <c r="AM303" s="9"/>
      <c r="AN303" s="5"/>
      <c r="AO303" s="5"/>
      <c r="AP303" s="5"/>
      <c r="AQ303" s="10">
        <f t="shared" si="32"/>
        <v>0</v>
      </c>
      <c r="AR303" s="5"/>
      <c r="AS303" s="3">
        <f t="shared" si="33"/>
        <v>0</v>
      </c>
      <c r="AT303" s="28"/>
      <c r="AU303" s="5"/>
      <c r="AV303" s="8"/>
      <c r="CE303" s="2"/>
      <c r="CF303" s="19"/>
      <c r="CG303" s="2">
        <f t="shared" si="28"/>
        <v>0</v>
      </c>
      <c r="CH303" s="2">
        <f t="shared" si="29"/>
        <v>0</v>
      </c>
      <c r="CI303" s="2"/>
      <c r="CJ303" s="20">
        <f t="shared" si="34"/>
        <v>0</v>
      </c>
    </row>
    <row r="304" spans="1:88" x14ac:dyDescent="0.25">
      <c r="A304" s="5"/>
      <c r="B304" s="5"/>
      <c r="C304" s="5"/>
      <c r="D304" s="5"/>
      <c r="E304" s="10">
        <f t="shared" si="30"/>
        <v>0</v>
      </c>
      <c r="F304" s="5"/>
      <c r="G304" s="3">
        <f t="shared" si="31"/>
        <v>0</v>
      </c>
      <c r="H304" s="25"/>
      <c r="I304" s="5"/>
      <c r="J304" s="8"/>
      <c r="AM304" s="9"/>
      <c r="AN304" s="5"/>
      <c r="AO304" s="5"/>
      <c r="AP304" s="5"/>
      <c r="AQ304" s="10">
        <f t="shared" si="32"/>
        <v>0</v>
      </c>
      <c r="AR304" s="5"/>
      <c r="AS304" s="3">
        <f t="shared" si="33"/>
        <v>0</v>
      </c>
      <c r="AT304" s="28"/>
      <c r="AU304" s="5"/>
      <c r="AV304" s="8"/>
      <c r="CE304" s="2"/>
      <c r="CF304" s="19"/>
      <c r="CG304" s="2">
        <f t="shared" si="28"/>
        <v>0</v>
      </c>
      <c r="CH304" s="2">
        <f t="shared" si="29"/>
        <v>0</v>
      </c>
      <c r="CI304" s="2"/>
      <c r="CJ304" s="20">
        <f t="shared" si="34"/>
        <v>0</v>
      </c>
    </row>
    <row r="305" spans="1:48" x14ac:dyDescent="0.25">
      <c r="A305" s="5"/>
      <c r="B305" s="5"/>
      <c r="C305" s="5"/>
      <c r="D305" s="5"/>
      <c r="E305" s="10">
        <f t="shared" si="30"/>
        <v>0</v>
      </c>
      <c r="F305" s="5"/>
      <c r="G305" s="3">
        <f t="shared" si="31"/>
        <v>0</v>
      </c>
      <c r="H305" s="25"/>
      <c r="I305" s="5"/>
      <c r="J305" s="8"/>
      <c r="AM305" s="9"/>
      <c r="AN305" s="5"/>
      <c r="AO305" s="5"/>
      <c r="AP305" s="5"/>
      <c r="AQ305" s="10">
        <f t="shared" si="32"/>
        <v>0</v>
      </c>
      <c r="AR305" s="5"/>
      <c r="AS305" s="3">
        <f t="shared" si="33"/>
        <v>0</v>
      </c>
      <c r="AT305" s="28"/>
      <c r="AU305" s="5"/>
      <c r="AV305" s="8"/>
    </row>
  </sheetData>
  <mergeCells count="13">
    <mergeCell ref="CB3:CD3"/>
    <mergeCell ref="CB6:CD6"/>
    <mergeCell ref="A3:J4"/>
    <mergeCell ref="CE3:CJ3"/>
    <mergeCell ref="A5:B5"/>
    <mergeCell ref="C5:D5"/>
    <mergeCell ref="E5:F5"/>
    <mergeCell ref="U2:AB2"/>
    <mergeCell ref="A1:H2"/>
    <mergeCell ref="AM3:AV4"/>
    <mergeCell ref="AM5:AN5"/>
    <mergeCell ref="AO5:AP5"/>
    <mergeCell ref="AQ5:AR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55DE-D5F8-4AED-A05F-9842F5E029C9}">
  <dimension ref="A1:CJ303"/>
  <sheetViews>
    <sheetView showGridLines="0" topLeftCell="CC43" zoomScale="90" zoomScaleNormal="90" workbookViewId="0">
      <selection activeCell="CH53" sqref="CH53"/>
    </sheetView>
  </sheetViews>
  <sheetFormatPr defaultRowHeight="15" x14ac:dyDescent="0.25"/>
  <cols>
    <col min="1" max="1" width="18.42578125" customWidth="1"/>
    <col min="3" max="3" width="18" customWidth="1"/>
    <col min="5" max="5" width="18.5703125" customWidth="1"/>
    <col min="7" max="7" width="18.140625" customWidth="1"/>
    <col min="8" max="8" width="21.42578125" customWidth="1"/>
    <col min="9" max="9" width="18.140625" customWidth="1"/>
    <col min="10" max="10" width="18" customWidth="1"/>
    <col min="39" max="39" width="18.28515625" customWidth="1"/>
    <col min="41" max="41" width="18.28515625" customWidth="1"/>
    <col min="43" max="43" width="18.42578125" customWidth="1"/>
    <col min="45" max="45" width="18" customWidth="1"/>
    <col min="46" max="46" width="23.5703125" customWidth="1"/>
    <col min="47" max="47" width="17.85546875" customWidth="1"/>
    <col min="48" max="48" width="18" customWidth="1"/>
    <col min="83" max="83" width="18" customWidth="1"/>
    <col min="84" max="84" width="18.140625" customWidth="1"/>
    <col min="85" max="85" width="18" customWidth="1"/>
    <col min="86" max="86" width="27.5703125" customWidth="1"/>
    <col min="87" max="87" width="18.140625" customWidth="1"/>
    <col min="88" max="88" width="18" customWidth="1"/>
  </cols>
  <sheetData>
    <row r="1" spans="1:88" x14ac:dyDescent="0.25">
      <c r="A1" s="62" t="s">
        <v>23</v>
      </c>
      <c r="B1" s="62"/>
      <c r="C1" s="62"/>
      <c r="D1" s="62"/>
      <c r="E1" s="62"/>
      <c r="F1" s="62"/>
      <c r="G1" s="62"/>
      <c r="H1" s="62"/>
      <c r="I1" s="62"/>
      <c r="J1" s="62"/>
      <c r="AM1" s="56" t="s">
        <v>24</v>
      </c>
      <c r="AN1" s="56"/>
      <c r="AO1" s="56"/>
      <c r="AP1" s="56"/>
      <c r="AQ1" s="56"/>
      <c r="AR1" s="56"/>
      <c r="AS1" s="56"/>
      <c r="AT1" s="56"/>
      <c r="AU1" s="56"/>
      <c r="AV1" s="56"/>
      <c r="CE1" s="63" t="s">
        <v>3</v>
      </c>
      <c r="CF1" s="63"/>
      <c r="CG1" s="63"/>
      <c r="CH1" s="63"/>
      <c r="CI1" s="63"/>
      <c r="CJ1" s="63"/>
    </row>
    <row r="2" spans="1:88" ht="30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AM2" s="56"/>
      <c r="AN2" s="56"/>
      <c r="AO2" s="56"/>
      <c r="AP2" s="56"/>
      <c r="AQ2" s="56"/>
      <c r="AR2" s="56"/>
      <c r="AS2" s="56"/>
      <c r="AT2" s="56"/>
      <c r="AU2" s="56"/>
      <c r="AV2" s="56"/>
      <c r="CB2" s="57" t="s">
        <v>2</v>
      </c>
      <c r="CC2" s="57"/>
      <c r="CD2" s="57"/>
      <c r="CE2" s="15" t="s">
        <v>7</v>
      </c>
      <c r="CF2" s="55" t="s">
        <v>8</v>
      </c>
      <c r="CG2" s="16" t="s">
        <v>9</v>
      </c>
      <c r="CH2" s="17" t="s">
        <v>10</v>
      </c>
      <c r="CI2" s="54" t="s">
        <v>11</v>
      </c>
      <c r="CJ2" s="54" t="s">
        <v>12</v>
      </c>
    </row>
    <row r="3" spans="1:88" x14ac:dyDescent="0.25">
      <c r="A3" s="64" t="s">
        <v>13</v>
      </c>
      <c r="B3" s="64"/>
      <c r="C3" s="64" t="s">
        <v>14</v>
      </c>
      <c r="D3" s="64"/>
      <c r="E3" s="64" t="s">
        <v>15</v>
      </c>
      <c r="F3" s="64"/>
      <c r="G3" s="22" t="s">
        <v>16</v>
      </c>
      <c r="H3" s="22" t="s">
        <v>21</v>
      </c>
      <c r="I3" s="14" t="s">
        <v>18</v>
      </c>
      <c r="J3" s="14" t="s">
        <v>19</v>
      </c>
      <c r="M3" s="4"/>
      <c r="AM3" s="56" t="s">
        <v>13</v>
      </c>
      <c r="AN3" s="56"/>
      <c r="AO3" s="56" t="s">
        <v>14</v>
      </c>
      <c r="AP3" s="56"/>
      <c r="AQ3" s="56" t="s">
        <v>15</v>
      </c>
      <c r="AR3" s="56"/>
      <c r="AS3" s="55" t="s">
        <v>16</v>
      </c>
      <c r="AT3" s="55" t="s">
        <v>21</v>
      </c>
      <c r="AU3" s="55" t="s">
        <v>18</v>
      </c>
      <c r="AV3" s="55" t="s">
        <v>19</v>
      </c>
      <c r="CB3" s="1" t="s">
        <v>4</v>
      </c>
      <c r="CC3" s="52" t="s">
        <v>5</v>
      </c>
      <c r="CD3" s="52" t="s">
        <v>6</v>
      </c>
      <c r="CE3" s="2">
        <f>A4</f>
        <v>0.29104471139999999</v>
      </c>
      <c r="CF3" s="19">
        <f>AM4</f>
        <v>0.32297433450000002</v>
      </c>
      <c r="CG3" s="2">
        <f>G4</f>
        <v>42.278207195640427</v>
      </c>
      <c r="CH3" s="24">
        <f>AS4</f>
        <v>46.916419704663561</v>
      </c>
      <c r="CI3" s="2">
        <v>-0.87464025290000003</v>
      </c>
      <c r="CJ3" s="20">
        <f>-(CI3/$CI$5)</f>
        <v>-1.0049522193586689</v>
      </c>
    </row>
    <row r="4" spans="1:88" x14ac:dyDescent="0.25">
      <c r="A4" s="5">
        <v>0.29104471139999999</v>
      </c>
      <c r="B4" s="5"/>
      <c r="C4" s="5">
        <v>-0.8746552595</v>
      </c>
      <c r="D4" s="6"/>
      <c r="E4" s="10">
        <f t="shared" ref="E4:E67" si="0">-(C4/$C$6)</f>
        <v>-1.0047445790432707</v>
      </c>
      <c r="F4" s="7"/>
      <c r="G4" s="21">
        <f>1/2*$CB$4*($CC$4)^2*$CD$4*A4</f>
        <v>42.278207195640427</v>
      </c>
      <c r="H4" s="26">
        <v>1.8099999999999999E-5</v>
      </c>
      <c r="I4" s="5">
        <v>5.7301330209999996E-3</v>
      </c>
      <c r="J4" s="8">
        <v>-4.1200000000000004E-6</v>
      </c>
      <c r="M4" s="4"/>
      <c r="AM4" s="2">
        <v>0.32297433450000002</v>
      </c>
      <c r="AN4" s="2"/>
      <c r="AO4" s="2">
        <v>-0.87464025290000003</v>
      </c>
      <c r="AP4" s="30"/>
      <c r="AQ4" s="20">
        <f t="shared" ref="AQ4:AQ67" si="1">-(AO4/$C$6)</f>
        <v>-1.0047273404800354</v>
      </c>
      <c r="AR4" s="31"/>
      <c r="AS4" s="29">
        <f>1/2*$CB$4*($CC$4)^2*$CD$4*AM4</f>
        <v>46.916419704663561</v>
      </c>
      <c r="AT4" s="26">
        <v>8.4600000000000003E-6</v>
      </c>
      <c r="AU4" s="26">
        <v>5.0894990470000002E-3</v>
      </c>
      <c r="AV4" s="26">
        <v>-3.6600000000000001E-6</v>
      </c>
      <c r="CB4" s="2">
        <v>1.117</v>
      </c>
      <c r="CC4" s="2">
        <v>16</v>
      </c>
      <c r="CD4" s="2">
        <v>1.016</v>
      </c>
      <c r="CE4" s="2">
        <f t="shared" ref="CE4:CE67" si="2">A5</f>
        <v>0.50558190339999998</v>
      </c>
      <c r="CF4" s="19">
        <f t="shared" ref="CF4:CF67" si="3">AM5</f>
        <v>0.56093609430000002</v>
      </c>
      <c r="CG4" s="2">
        <f t="shared" ref="CG4:CG67" si="4">G5</f>
        <v>73.442655472046695</v>
      </c>
      <c r="CH4" s="24">
        <f t="shared" ref="CH4:CH67" si="5">AS5</f>
        <v>81.483605402934998</v>
      </c>
      <c r="CI4" s="2">
        <v>-0.87320225039999999</v>
      </c>
      <c r="CJ4" s="20">
        <f t="shared" ref="CJ4:CJ67" si="6">-(CI4/$CI$5)</f>
        <v>-1.003299969992113</v>
      </c>
    </row>
    <row r="5" spans="1:88" x14ac:dyDescent="0.25">
      <c r="A5" s="5">
        <v>0.50558190339999998</v>
      </c>
      <c r="B5" s="5"/>
      <c r="C5" s="5">
        <v>-0.87327724220000003</v>
      </c>
      <c r="D5" s="6"/>
      <c r="E5" s="10">
        <f t="shared" si="0"/>
        <v>-1.003161606326918</v>
      </c>
      <c r="F5" s="7"/>
      <c r="G5" s="21">
        <f t="shared" ref="G5:G68" si="7">1/2*$CB$4*($CC$4)^2*$CD$4*A5</f>
        <v>73.442655472046695</v>
      </c>
      <c r="H5" s="26">
        <v>9.3399999999999993E-5</v>
      </c>
      <c r="I5" s="5">
        <v>3.5597000500000003E-2</v>
      </c>
      <c r="J5" s="8">
        <v>-8.0900000000000001E-5</v>
      </c>
      <c r="M5" s="4"/>
      <c r="AM5" s="2">
        <v>0.56093609430000002</v>
      </c>
      <c r="AN5" s="2"/>
      <c r="AO5" s="2">
        <v>-0.87320225039999999</v>
      </c>
      <c r="AP5" s="30"/>
      <c r="AQ5" s="20">
        <f t="shared" si="1"/>
        <v>-1.0030754608385049</v>
      </c>
      <c r="AR5" s="31"/>
      <c r="AS5" s="29">
        <f t="shared" ref="AS5:AS68" si="8">1/2*$CB$4*($CC$4)^2*$CD$4*AM5</f>
        <v>81.483605402934998</v>
      </c>
      <c r="AT5" s="26">
        <v>4.7700000000000001E-5</v>
      </c>
      <c r="AU5" s="26">
        <v>3.1677101780000001E-2</v>
      </c>
      <c r="AV5" s="26">
        <v>-7.2000000000000002E-5</v>
      </c>
      <c r="CB5" s="58" t="s">
        <v>22</v>
      </c>
      <c r="CC5" s="58"/>
      <c r="CD5" s="58"/>
      <c r="CE5" s="2">
        <f t="shared" si="2"/>
        <v>0.73780567409999998</v>
      </c>
      <c r="CF5" s="19">
        <f t="shared" si="3"/>
        <v>0.81838046040000001</v>
      </c>
      <c r="CG5" s="2">
        <f t="shared" si="4"/>
        <v>107.17632012508355</v>
      </c>
      <c r="CH5" s="24">
        <f t="shared" si="5"/>
        <v>118.88090494144882</v>
      </c>
      <c r="CI5" s="2">
        <v>-0.87033018689999997</v>
      </c>
      <c r="CJ5" s="20">
        <f t="shared" si="6"/>
        <v>-1</v>
      </c>
    </row>
    <row r="6" spans="1:88" x14ac:dyDescent="0.25">
      <c r="A6" s="5">
        <v>0.73780567409999998</v>
      </c>
      <c r="B6" s="5"/>
      <c r="C6" s="5">
        <v>-0.87052498489999997</v>
      </c>
      <c r="D6" s="6"/>
      <c r="E6" s="10">
        <f t="shared" si="0"/>
        <v>-1</v>
      </c>
      <c r="F6" s="7"/>
      <c r="G6" s="21">
        <f t="shared" si="7"/>
        <v>107.17632012508355</v>
      </c>
      <c r="H6" s="26">
        <v>2.8147997920000001E-4</v>
      </c>
      <c r="I6" s="5">
        <v>0.1086602082</v>
      </c>
      <c r="J6" s="8">
        <v>0</v>
      </c>
      <c r="M6" s="4"/>
      <c r="AM6" s="2">
        <v>0.81838046040000001</v>
      </c>
      <c r="AN6" s="2"/>
      <c r="AO6" s="2">
        <v>-0.87033018689999997</v>
      </c>
      <c r="AP6" s="30"/>
      <c r="AQ6" s="20">
        <f t="shared" si="1"/>
        <v>-0.99977622928304311</v>
      </c>
      <c r="AR6" s="31"/>
      <c r="AS6" s="29">
        <f t="shared" si="8"/>
        <v>118.88090494144882</v>
      </c>
      <c r="AT6" s="26">
        <v>1.449238479E-4</v>
      </c>
      <c r="AU6" s="26">
        <v>9.6638669120000006E-2</v>
      </c>
      <c r="AV6" s="26">
        <v>-4.1867633389999998E-4</v>
      </c>
      <c r="CE6" s="2">
        <f t="shared" si="2"/>
        <v>0.96933951039999999</v>
      </c>
      <c r="CF6" s="19">
        <f t="shared" si="3"/>
        <v>1.0714950080000001</v>
      </c>
      <c r="CG6" s="2">
        <f t="shared" si="4"/>
        <v>140.80976241237363</v>
      </c>
      <c r="CH6" s="24">
        <f t="shared" si="5"/>
        <v>155.64923938802895</v>
      </c>
      <c r="CI6" s="2">
        <v>-0.86603193460000005</v>
      </c>
      <c r="CJ6" s="20">
        <f t="shared" si="6"/>
        <v>-0.99506135445524446</v>
      </c>
    </row>
    <row r="7" spans="1:88" x14ac:dyDescent="0.25">
      <c r="A7" s="5">
        <v>0.96933951039999999</v>
      </c>
      <c r="B7" s="5"/>
      <c r="C7" s="5">
        <v>-0.86640603100000002</v>
      </c>
      <c r="D7" s="6"/>
      <c r="E7" s="10">
        <f t="shared" si="0"/>
        <v>-0.99526842540829186</v>
      </c>
      <c r="F7" s="7"/>
      <c r="G7" s="21">
        <f t="shared" si="7"/>
        <v>140.80976241237363</v>
      </c>
      <c r="H7" s="26">
        <v>6.0722057670000004E-4</v>
      </c>
      <c r="I7" s="5">
        <v>0.24363597300000001</v>
      </c>
      <c r="J7" s="8">
        <v>0</v>
      </c>
      <c r="M7" s="4"/>
      <c r="AM7" s="2">
        <v>1.0714950080000001</v>
      </c>
      <c r="AN7" s="2"/>
      <c r="AO7" s="2">
        <v>-0.86603193460000005</v>
      </c>
      <c r="AP7" s="30"/>
      <c r="AQ7" s="20">
        <f t="shared" si="1"/>
        <v>-0.9948386888625419</v>
      </c>
      <c r="AR7" s="31"/>
      <c r="AS7" s="29">
        <f t="shared" si="8"/>
        <v>155.64923938802895</v>
      </c>
      <c r="AT7" s="26">
        <v>3.0929960719999999E-4</v>
      </c>
      <c r="AU7" s="26">
        <v>0.21612833109999999</v>
      </c>
      <c r="AV7" s="26">
        <v>-1.50123903E-3</v>
      </c>
      <c r="CE7" s="2">
        <f t="shared" si="2"/>
        <v>1.1892585449999999</v>
      </c>
      <c r="CF7" s="19">
        <f t="shared" si="3"/>
        <v>1.30953776</v>
      </c>
      <c r="CG7" s="2">
        <f t="shared" si="4"/>
        <v>172.75599660559874</v>
      </c>
      <c r="CH7" s="24">
        <f t="shared" si="5"/>
        <v>190.22819030614016</v>
      </c>
      <c r="CI7" s="2">
        <v>-0.86031927460000002</v>
      </c>
      <c r="CJ7" s="20">
        <f t="shared" si="6"/>
        <v>-0.98849756971471081</v>
      </c>
    </row>
    <row r="8" spans="1:88" x14ac:dyDescent="0.25">
      <c r="A8" s="5">
        <v>1.1892585449999999</v>
      </c>
      <c r="B8" s="5"/>
      <c r="C8" s="5">
        <v>-0.86093167059999998</v>
      </c>
      <c r="D8" s="6"/>
      <c r="E8" s="10">
        <f t="shared" si="0"/>
        <v>-0.98897985185215331</v>
      </c>
      <c r="F8" s="7"/>
      <c r="G8" s="21">
        <f t="shared" si="7"/>
        <v>172.75599660559874</v>
      </c>
      <c r="H8" s="26">
        <v>1.0738501770000001E-3</v>
      </c>
      <c r="I8" s="5">
        <v>0.45763457959999998</v>
      </c>
      <c r="J8" s="8">
        <v>0</v>
      </c>
      <c r="M8" s="4"/>
      <c r="AM8" s="2">
        <v>1.30953776</v>
      </c>
      <c r="AN8" s="2"/>
      <c r="AO8" s="2">
        <v>-0.86031927460000002</v>
      </c>
      <c r="AP8" s="30"/>
      <c r="AQ8" s="20">
        <f t="shared" si="1"/>
        <v>-0.98827637290482562</v>
      </c>
      <c r="AR8" s="31"/>
      <c r="AS8" s="29">
        <f t="shared" si="8"/>
        <v>190.22819030614016</v>
      </c>
      <c r="AT8" s="26">
        <v>5.396032781E-4</v>
      </c>
      <c r="AU8" s="26">
        <v>0.40473103560000001</v>
      </c>
      <c r="AV8" s="26">
        <v>-4.0981680289999996E-3</v>
      </c>
      <c r="CE8" s="2">
        <f t="shared" si="2"/>
        <v>1.393363012</v>
      </c>
      <c r="CF8" s="19">
        <f t="shared" si="3"/>
        <v>1.529464121</v>
      </c>
      <c r="CG8" s="2">
        <f t="shared" si="4"/>
        <v>202.40494952377142</v>
      </c>
      <c r="CH8" s="24">
        <f t="shared" si="5"/>
        <v>222.17548875872154</v>
      </c>
      <c r="CI8" s="2">
        <v>-0.8532078649</v>
      </c>
      <c r="CJ8" s="20">
        <f t="shared" si="6"/>
        <v>-0.98032663665155939</v>
      </c>
    </row>
    <row r="9" spans="1:88" x14ac:dyDescent="0.25">
      <c r="A9" s="5">
        <v>1.393363012</v>
      </c>
      <c r="B9" s="5"/>
      <c r="C9" s="5">
        <v>-0.85411690829999998</v>
      </c>
      <c r="D9" s="6"/>
      <c r="E9" s="10">
        <f t="shared" si="0"/>
        <v>-0.98115151559735547</v>
      </c>
      <c r="F9" s="7"/>
      <c r="G9" s="21">
        <f t="shared" si="7"/>
        <v>202.40494952377142</v>
      </c>
      <c r="H9" s="26">
        <v>1.6758358589999999E-3</v>
      </c>
      <c r="I9" s="5">
        <v>0.76617174789999998</v>
      </c>
      <c r="J9" s="8">
        <v>0</v>
      </c>
      <c r="M9" s="4"/>
      <c r="AM9" s="2">
        <v>1.529464121</v>
      </c>
      <c r="AN9" s="2"/>
      <c r="AO9" s="2">
        <v>-0.8532078649</v>
      </c>
      <c r="AP9" s="30"/>
      <c r="AQ9" s="20">
        <f t="shared" si="1"/>
        <v>-0.98010726825722383</v>
      </c>
      <c r="AR9" s="31"/>
      <c r="AS9" s="29">
        <f t="shared" si="8"/>
        <v>222.17548875872154</v>
      </c>
      <c r="AT9" s="2">
        <v>8.3084468669999999E-4</v>
      </c>
      <c r="AU9" s="2">
        <v>0.67567170860000003</v>
      </c>
      <c r="AV9" s="2">
        <v>-9.3727233770000001E-3</v>
      </c>
      <c r="CE9" s="2">
        <f t="shared" si="2"/>
        <v>1.5805943099999999</v>
      </c>
      <c r="CF9" s="19">
        <f t="shared" si="3"/>
        <v>1.7303138549999999</v>
      </c>
      <c r="CG9" s="2">
        <f t="shared" si="4"/>
        <v>229.60284489962498</v>
      </c>
      <c r="CH9" s="24">
        <f t="shared" si="5"/>
        <v>251.35164739219968</v>
      </c>
      <c r="CI9" s="2">
        <v>-0.84471719749999996</v>
      </c>
      <c r="CJ9" s="20">
        <f t="shared" si="6"/>
        <v>-0.97057095136360827</v>
      </c>
    </row>
    <row r="10" spans="1:88" x14ac:dyDescent="0.25">
      <c r="A10" s="5">
        <v>1.5805943099999999</v>
      </c>
      <c r="B10" s="5"/>
      <c r="C10" s="5">
        <v>-0.84598042299999998</v>
      </c>
      <c r="D10" s="6"/>
      <c r="E10" s="10">
        <f t="shared" si="0"/>
        <v>-0.97180487369604962</v>
      </c>
      <c r="F10" s="7"/>
      <c r="G10" s="21">
        <f t="shared" si="7"/>
        <v>229.60284489962498</v>
      </c>
      <c r="H10" s="2">
        <v>2.4049556469999999E-3</v>
      </c>
      <c r="I10" s="5">
        <v>1.183451475</v>
      </c>
      <c r="J10" s="5">
        <v>0</v>
      </c>
      <c r="K10" s="4"/>
      <c r="M10" s="4"/>
      <c r="AM10" s="2">
        <v>1.7303138549999999</v>
      </c>
      <c r="AN10" s="2"/>
      <c r="AO10" s="2">
        <v>-0.84471719749999996</v>
      </c>
      <c r="AP10" s="30"/>
      <c r="AQ10" s="20">
        <f t="shared" si="1"/>
        <v>-0.97035376600596401</v>
      </c>
      <c r="AR10" s="31"/>
      <c r="AS10" s="29">
        <f t="shared" si="8"/>
        <v>251.35164739219968</v>
      </c>
      <c r="AT10" s="2">
        <v>1.1770951259999999E-3</v>
      </c>
      <c r="AU10" s="2">
        <v>1.0409720419999999</v>
      </c>
      <c r="AV10" s="2">
        <v>-1.8923586839999999E-2</v>
      </c>
      <c r="CE10" s="2">
        <f t="shared" si="2"/>
        <v>1.750595254</v>
      </c>
      <c r="CF10" s="19">
        <f t="shared" si="3"/>
        <v>1.911683161</v>
      </c>
      <c r="CG10" s="2">
        <f t="shared" si="4"/>
        <v>254.2977967484785</v>
      </c>
      <c r="CH10" s="24">
        <f t="shared" si="5"/>
        <v>277.6980086131702</v>
      </c>
      <c r="CI10" s="2">
        <v>-0.83487054459999999</v>
      </c>
      <c r="CJ10" s="20">
        <f t="shared" si="6"/>
        <v>-0.95925725335771417</v>
      </c>
    </row>
    <row r="11" spans="1:88" x14ac:dyDescent="0.25">
      <c r="A11" s="5">
        <v>1.750595254</v>
      </c>
      <c r="B11" s="6"/>
      <c r="C11" s="5">
        <v>-0.83654451620000003</v>
      </c>
      <c r="D11" s="6"/>
      <c r="E11" s="10">
        <f t="shared" si="0"/>
        <v>-0.96096554459731742</v>
      </c>
      <c r="F11" s="7"/>
      <c r="G11" s="21">
        <f t="shared" si="7"/>
        <v>254.2977967484785</v>
      </c>
      <c r="H11" s="2">
        <v>3.2531891729999998E-3</v>
      </c>
      <c r="I11" s="5">
        <v>1.7224478080000001</v>
      </c>
      <c r="J11" s="5">
        <v>0</v>
      </c>
      <c r="K11" s="4"/>
      <c r="AM11" s="2">
        <v>1.911683161</v>
      </c>
      <c r="AN11" s="30"/>
      <c r="AO11" s="2">
        <v>-0.83487054459999999</v>
      </c>
      <c r="AP11" s="30"/>
      <c r="AQ11" s="20">
        <f t="shared" si="1"/>
        <v>-0.95904259967438421</v>
      </c>
      <c r="AR11" s="31"/>
      <c r="AS11" s="29">
        <f t="shared" si="8"/>
        <v>277.6980086131702</v>
      </c>
      <c r="AT11" s="2">
        <v>1.572630698E-3</v>
      </c>
      <c r="AU11" s="2">
        <v>1.5114900229999999</v>
      </c>
      <c r="AV11" s="2">
        <v>-3.4821981000000002E-2</v>
      </c>
      <c r="CE11" s="2">
        <f t="shared" si="2"/>
        <v>1.9033442739999999</v>
      </c>
      <c r="CF11" s="19">
        <f t="shared" si="3"/>
        <v>2.0735755739999999</v>
      </c>
      <c r="CG11" s="2">
        <f t="shared" si="4"/>
        <v>276.4866717341348</v>
      </c>
      <c r="CH11" s="24">
        <f t="shared" si="5"/>
        <v>301.21508592851558</v>
      </c>
      <c r="CI11" s="2">
        <v>-0.82369489520000005</v>
      </c>
      <c r="CJ11" s="20">
        <f t="shared" si="6"/>
        <v>-0.94641655270385527</v>
      </c>
    </row>
    <row r="12" spans="1:88" x14ac:dyDescent="0.25">
      <c r="A12" s="5">
        <v>1.9033442739999999</v>
      </c>
      <c r="B12" s="6"/>
      <c r="C12" s="5">
        <v>-0.82583505099999999</v>
      </c>
      <c r="D12" s="5"/>
      <c r="E12" s="10">
        <f t="shared" si="0"/>
        <v>-0.94866323807451236</v>
      </c>
      <c r="F12" s="7"/>
      <c r="G12" s="21">
        <f t="shared" si="7"/>
        <v>276.4866717341348</v>
      </c>
      <c r="H12" s="2">
        <v>4.2139269789999998E-3</v>
      </c>
      <c r="I12" s="5">
        <v>2.3949239009999999</v>
      </c>
      <c r="J12" s="5">
        <v>0</v>
      </c>
      <c r="K12" s="4"/>
      <c r="AM12" s="2">
        <v>2.0735755739999999</v>
      </c>
      <c r="AN12" s="30"/>
      <c r="AO12" s="2">
        <v>-0.82369489520000005</v>
      </c>
      <c r="AP12" s="2"/>
      <c r="AQ12" s="20">
        <f t="shared" si="1"/>
        <v>-0.9462047723933168</v>
      </c>
      <c r="AR12" s="31"/>
      <c r="AS12" s="29">
        <f t="shared" si="8"/>
        <v>301.21508592851558</v>
      </c>
      <c r="AT12" s="2">
        <v>2.012442685E-3</v>
      </c>
      <c r="AU12" s="2">
        <v>2.0969440659999998</v>
      </c>
      <c r="AV12" s="2">
        <v>-5.9634994439999998E-2</v>
      </c>
      <c r="CE12" s="2">
        <f t="shared" si="2"/>
        <v>2.0391083619999999</v>
      </c>
      <c r="CF12" s="19">
        <f t="shared" si="3"/>
        <v>2.2163718459999999</v>
      </c>
      <c r="CG12" s="2">
        <f t="shared" si="4"/>
        <v>296.20825407995699</v>
      </c>
      <c r="CH12" s="24">
        <f t="shared" si="5"/>
        <v>321.95818875055517</v>
      </c>
      <c r="CI12" s="2">
        <v>-0.81122088110000001</v>
      </c>
      <c r="CJ12" s="20">
        <f t="shared" si="6"/>
        <v>-0.93208404500992958</v>
      </c>
    </row>
    <row r="13" spans="1:88" x14ac:dyDescent="0.25">
      <c r="A13" s="5">
        <v>2.0391083619999999</v>
      </c>
      <c r="B13" s="6"/>
      <c r="C13" s="5">
        <v>-0.8138813815</v>
      </c>
      <c r="D13" s="5"/>
      <c r="E13" s="10">
        <f t="shared" si="0"/>
        <v>-0.93493167412477329</v>
      </c>
      <c r="F13" s="7"/>
      <c r="G13" s="21">
        <f t="shared" si="7"/>
        <v>296.20825407995699</v>
      </c>
      <c r="H13" s="2">
        <v>5.2825498620000001E-3</v>
      </c>
      <c r="I13" s="5">
        <v>3.211439747</v>
      </c>
      <c r="J13" s="5">
        <v>0</v>
      </c>
      <c r="K13" s="4"/>
      <c r="AM13" s="2">
        <v>2.2163718459999999</v>
      </c>
      <c r="AN13" s="30"/>
      <c r="AO13" s="2">
        <v>-0.81122088110000001</v>
      </c>
      <c r="AP13" s="2"/>
      <c r="AQ13" s="20">
        <f t="shared" si="1"/>
        <v>-0.9318754718949136</v>
      </c>
      <c r="AR13" s="31"/>
      <c r="AS13" s="29">
        <f t="shared" si="8"/>
        <v>321.95818875055517</v>
      </c>
      <c r="AT13" s="2">
        <v>2.4925209639999999E-3</v>
      </c>
      <c r="AU13" s="2">
        <v>2.8059425779999998</v>
      </c>
      <c r="AV13" s="2">
        <v>-9.6435178869999999E-2</v>
      </c>
      <c r="CE13" s="2">
        <f t="shared" si="2"/>
        <v>2.1584151579999999</v>
      </c>
      <c r="CF13" s="19">
        <f t="shared" si="3"/>
        <v>2.3407883790000001</v>
      </c>
      <c r="CG13" s="2">
        <f t="shared" si="4"/>
        <v>313.53919068029137</v>
      </c>
      <c r="CH13" s="24">
        <f t="shared" si="5"/>
        <v>340.03138422431851</v>
      </c>
      <c r="CI13" s="2">
        <v>-0.79748269260000004</v>
      </c>
      <c r="CJ13" s="20">
        <f t="shared" si="6"/>
        <v>-0.91629901456196416</v>
      </c>
    </row>
    <row r="14" spans="1:88" x14ac:dyDescent="0.25">
      <c r="A14" s="5">
        <v>2.1584151579999999</v>
      </c>
      <c r="B14" s="6"/>
      <c r="C14" s="5">
        <v>-0.80071627170000004</v>
      </c>
      <c r="D14" s="5"/>
      <c r="E14" s="10">
        <f t="shared" si="0"/>
        <v>-0.91980848980685015</v>
      </c>
      <c r="F14" s="7"/>
      <c r="G14" s="21">
        <f t="shared" si="7"/>
        <v>313.53919068029137</v>
      </c>
      <c r="H14" s="2">
        <v>6.4567532950000001E-3</v>
      </c>
      <c r="I14" s="5">
        <v>4.1813595939999999</v>
      </c>
      <c r="J14" s="5">
        <v>0</v>
      </c>
      <c r="K14" s="4"/>
      <c r="AM14" s="2">
        <v>2.3407883790000001</v>
      </c>
      <c r="AN14" s="30"/>
      <c r="AO14" s="2">
        <v>-0.79748269260000004</v>
      </c>
      <c r="AP14" s="2"/>
      <c r="AQ14" s="20">
        <f t="shared" si="1"/>
        <v>-0.91609397367452872</v>
      </c>
      <c r="AR14" s="31"/>
      <c r="AS14" s="29">
        <f t="shared" si="8"/>
        <v>340.03138422431851</v>
      </c>
      <c r="AT14" s="2">
        <v>3.010034222E-3</v>
      </c>
      <c r="AU14" s="2">
        <v>3.6460210910000002</v>
      </c>
      <c r="AV14" s="2">
        <v>-0.14879674079999999</v>
      </c>
      <c r="CE14" s="2">
        <f t="shared" si="2"/>
        <v>2.26201455</v>
      </c>
      <c r="CF14" s="19">
        <f t="shared" si="3"/>
        <v>2.4478182030000002</v>
      </c>
      <c r="CG14" s="2">
        <f t="shared" si="4"/>
        <v>328.58841297761285</v>
      </c>
      <c r="CH14" s="24">
        <f t="shared" si="5"/>
        <v>355.57892347840209</v>
      </c>
      <c r="CI14" s="2">
        <v>-0.78251798510000004</v>
      </c>
      <c r="CJ14" s="20">
        <f t="shared" si="6"/>
        <v>-0.89910472700852162</v>
      </c>
    </row>
    <row r="15" spans="1:88" x14ac:dyDescent="0.25">
      <c r="A15" s="5">
        <v>2.26201455</v>
      </c>
      <c r="B15" s="6"/>
      <c r="C15" s="5">
        <v>-0.78637580630000004</v>
      </c>
      <c r="D15" s="5"/>
      <c r="E15" s="10">
        <f t="shared" si="0"/>
        <v>-0.90333513677420019</v>
      </c>
      <c r="F15" s="7"/>
      <c r="G15" s="21">
        <f t="shared" si="7"/>
        <v>328.58841297761285</v>
      </c>
      <c r="H15" s="2">
        <v>7.7367499009999997E-3</v>
      </c>
      <c r="I15" s="5">
        <v>5.3128608389999998</v>
      </c>
      <c r="J15" s="5">
        <v>0</v>
      </c>
      <c r="K15" s="4"/>
      <c r="AM15" s="2">
        <v>2.4478182030000002</v>
      </c>
      <c r="AN15" s="30"/>
      <c r="AO15" s="2">
        <v>-0.78251798510000004</v>
      </c>
      <c r="AP15" s="2"/>
      <c r="AQ15" s="20">
        <f t="shared" si="1"/>
        <v>-0.89890353369913956</v>
      </c>
      <c r="AR15" s="31"/>
      <c r="AS15" s="29">
        <f t="shared" si="8"/>
        <v>355.57892347840209</v>
      </c>
      <c r="AT15" s="2">
        <v>3.5634593310000001E-3</v>
      </c>
      <c r="AU15" s="2">
        <v>4.6236843040000002</v>
      </c>
      <c r="AV15" s="2">
        <v>-0.22077884119999999</v>
      </c>
      <c r="CE15" s="2">
        <f t="shared" si="2"/>
        <v>2.35083134</v>
      </c>
      <c r="CF15" s="19">
        <f t="shared" si="3"/>
        <v>2.5386600420000001</v>
      </c>
      <c r="CG15" s="2">
        <f t="shared" si="4"/>
        <v>341.49026105452549</v>
      </c>
      <c r="CH15" s="24">
        <f t="shared" si="5"/>
        <v>368.77493749563189</v>
      </c>
      <c r="CI15" s="2">
        <v>-0.76636777590000005</v>
      </c>
      <c r="CJ15" s="20">
        <f t="shared" si="6"/>
        <v>-0.8805483107850135</v>
      </c>
    </row>
    <row r="16" spans="1:88" x14ac:dyDescent="0.25">
      <c r="A16" s="5">
        <v>2.35083134</v>
      </c>
      <c r="B16" s="6"/>
      <c r="C16" s="5">
        <v>-0.77089929150000003</v>
      </c>
      <c r="D16" s="5"/>
      <c r="E16" s="10">
        <f t="shared" si="0"/>
        <v>-0.88555676732076305</v>
      </c>
      <c r="F16" s="7"/>
      <c r="G16" s="21">
        <f t="shared" si="7"/>
        <v>341.49026105452549</v>
      </c>
      <c r="H16" s="2">
        <v>9.1254092740000008E-3</v>
      </c>
      <c r="I16" s="5">
        <v>6.6129433610000001</v>
      </c>
      <c r="J16" s="5">
        <v>0</v>
      </c>
      <c r="K16" s="4"/>
      <c r="AM16" s="2">
        <v>2.5386600420000001</v>
      </c>
      <c r="AN16" s="30"/>
      <c r="AO16" s="2">
        <v>-0.76636777590000005</v>
      </c>
      <c r="AP16" s="2"/>
      <c r="AQ16" s="20">
        <f t="shared" si="1"/>
        <v>-0.8803512698581939</v>
      </c>
      <c r="AR16" s="31"/>
      <c r="AS16" s="29">
        <f t="shared" si="8"/>
        <v>368.77493749563189</v>
      </c>
      <c r="AT16" s="2">
        <v>4.1526826720000003E-3</v>
      </c>
      <c r="AU16" s="2">
        <v>5.7444480330000003</v>
      </c>
      <c r="AV16" s="2">
        <v>-0.31689662470000002</v>
      </c>
      <c r="CE16" s="2">
        <f t="shared" si="2"/>
        <v>2.4259136739999998</v>
      </c>
      <c r="CF16" s="19">
        <f t="shared" si="3"/>
        <v>2.6146429179999999</v>
      </c>
      <c r="CG16" s="2">
        <f t="shared" si="4"/>
        <v>352.3969923890852</v>
      </c>
      <c r="CH16" s="24">
        <f t="shared" si="5"/>
        <v>379.8124848174715</v>
      </c>
      <c r="CI16" s="2">
        <v>-0.74907633159999998</v>
      </c>
      <c r="CJ16" s="20">
        <f t="shared" si="6"/>
        <v>-0.86068062773751419</v>
      </c>
    </row>
    <row r="17" spans="1:88" x14ac:dyDescent="0.25">
      <c r="A17" s="5">
        <v>2.4259136739999998</v>
      </c>
      <c r="B17" s="6"/>
      <c r="C17" s="5">
        <v>-0.75432914750000002</v>
      </c>
      <c r="D17" s="5"/>
      <c r="E17" s="10">
        <f t="shared" si="0"/>
        <v>-0.86652211089225917</v>
      </c>
      <c r="F17" s="7"/>
      <c r="G17" s="21">
        <f t="shared" si="7"/>
        <v>352.3969923890852</v>
      </c>
      <c r="H17" s="2">
        <v>1.0628359570000001E-2</v>
      </c>
      <c r="I17" s="5">
        <v>8.087436941</v>
      </c>
      <c r="J17" s="5">
        <v>-1</v>
      </c>
      <c r="K17" s="4"/>
      <c r="AM17" s="2">
        <v>2.6146429179999999</v>
      </c>
      <c r="AN17" s="30"/>
      <c r="AO17" s="2">
        <v>-0.74907633159999998</v>
      </c>
      <c r="AP17" s="2"/>
      <c r="AQ17" s="20">
        <f t="shared" si="1"/>
        <v>-0.86048803261637441</v>
      </c>
      <c r="AR17" s="31"/>
      <c r="AS17" s="29">
        <f t="shared" si="8"/>
        <v>379.8124848174715</v>
      </c>
      <c r="AT17" s="2">
        <v>4.7790795870000001E-3</v>
      </c>
      <c r="AU17" s="2">
        <v>7.0128751490000001</v>
      </c>
      <c r="AV17" s="2">
        <v>-0.44208062850000002</v>
      </c>
      <c r="CE17" s="2">
        <f t="shared" si="2"/>
        <v>2.4883818010000001</v>
      </c>
      <c r="CF17" s="19">
        <f t="shared" si="3"/>
        <v>2.6771540269999998</v>
      </c>
      <c r="CG17" s="2">
        <f t="shared" si="4"/>
        <v>361.47133840185245</v>
      </c>
      <c r="CH17" s="24">
        <f t="shared" si="5"/>
        <v>388.89307455098162</v>
      </c>
      <c r="CI17" s="2">
        <v>-0.73069104669999996</v>
      </c>
      <c r="CJ17" s="20">
        <f t="shared" si="6"/>
        <v>-0.83955613363546999</v>
      </c>
    </row>
    <row r="18" spans="1:88" x14ac:dyDescent="0.25">
      <c r="A18" s="5">
        <v>2.4883818010000001</v>
      </c>
      <c r="B18" s="6"/>
      <c r="C18" s="5">
        <v>-0.73671079169999998</v>
      </c>
      <c r="D18" s="5"/>
      <c r="E18" s="10">
        <f t="shared" si="0"/>
        <v>-0.84628333991427984</v>
      </c>
      <c r="F18" s="7"/>
      <c r="G18" s="21">
        <f t="shared" si="7"/>
        <v>361.47133840185245</v>
      </c>
      <c r="H18" s="2">
        <v>1.2254055450000001E-2</v>
      </c>
      <c r="I18" s="5">
        <v>9.7410039640000008</v>
      </c>
      <c r="J18" s="5">
        <v>-1</v>
      </c>
      <c r="K18" s="4"/>
      <c r="AM18" s="2">
        <v>2.6771540269999998</v>
      </c>
      <c r="AN18" s="30"/>
      <c r="AO18" s="2">
        <v>-0.73069104669999996</v>
      </c>
      <c r="AP18" s="2"/>
      <c r="AQ18" s="20">
        <f t="shared" si="1"/>
        <v>-0.83936826555752075</v>
      </c>
      <c r="AR18" s="31"/>
      <c r="AS18" s="29">
        <f t="shared" si="8"/>
        <v>388.89307455098162</v>
      </c>
      <c r="AT18" s="2">
        <v>5.4455708749999998E-3</v>
      </c>
      <c r="AU18" s="2">
        <v>8.4326002869999996</v>
      </c>
      <c r="AV18" s="2">
        <v>-0.6016252004</v>
      </c>
      <c r="CE18" s="2">
        <f t="shared" si="2"/>
        <v>2.539381106</v>
      </c>
      <c r="CF18" s="19">
        <f t="shared" si="3"/>
        <v>2.7275763230000001</v>
      </c>
      <c r="CG18" s="2">
        <f t="shared" si="4"/>
        <v>368.87968185963933</v>
      </c>
      <c r="CH18" s="24">
        <f t="shared" si="5"/>
        <v>396.21759959496404</v>
      </c>
      <c r="CI18" s="2">
        <v>-0.71126231419999997</v>
      </c>
      <c r="CJ18" s="20">
        <f t="shared" si="6"/>
        <v>-0.81723272949249459</v>
      </c>
    </row>
    <row r="19" spans="1:88" x14ac:dyDescent="0.25">
      <c r="A19" s="5">
        <v>2.539381106</v>
      </c>
      <c r="B19" s="6"/>
      <c r="C19" s="5">
        <v>-0.71809251480000003</v>
      </c>
      <c r="D19" s="5"/>
      <c r="E19" s="10">
        <f t="shared" si="0"/>
        <v>-0.82489592746437901</v>
      </c>
      <c r="F19" s="7"/>
      <c r="G19" s="21">
        <f t="shared" si="7"/>
        <v>368.87968185963933</v>
      </c>
      <c r="H19" s="2">
        <v>1.4013807269999999E-2</v>
      </c>
      <c r="I19" s="5">
        <v>11.5771351</v>
      </c>
      <c r="J19" s="5">
        <v>-1</v>
      </c>
      <c r="K19" s="4"/>
      <c r="AM19" s="2">
        <v>2.7275763230000001</v>
      </c>
      <c r="AN19" s="30"/>
      <c r="AO19" s="2">
        <v>-0.71126231419999997</v>
      </c>
      <c r="AP19" s="2"/>
      <c r="AQ19" s="20">
        <f t="shared" si="1"/>
        <v>-0.81704985673869546</v>
      </c>
      <c r="AR19" s="31"/>
      <c r="AS19" s="29">
        <f t="shared" si="8"/>
        <v>396.21759959496404</v>
      </c>
      <c r="AT19" s="2">
        <v>6.1566539700000002E-3</v>
      </c>
      <c r="AU19" s="2">
        <v>10.00634009</v>
      </c>
      <c r="AV19" s="2">
        <v>-0.80112652370000004</v>
      </c>
      <c r="CE19" s="2">
        <f t="shared" si="2"/>
        <v>2.5800423280000002</v>
      </c>
      <c r="CF19" s="19">
        <f t="shared" si="3"/>
        <v>2.7672395910000001</v>
      </c>
      <c r="CG19" s="2">
        <f t="shared" si="4"/>
        <v>374.78627799833811</v>
      </c>
      <c r="CH19" s="24">
        <f t="shared" si="5"/>
        <v>401.97922932702107</v>
      </c>
      <c r="CI19" s="2">
        <v>-0.69084338680000001</v>
      </c>
      <c r="CJ19" s="20">
        <f t="shared" si="6"/>
        <v>-0.79377160208666553</v>
      </c>
    </row>
    <row r="20" spans="1:88" x14ac:dyDescent="0.25">
      <c r="A20" s="5">
        <v>2.5800423280000002</v>
      </c>
      <c r="B20" s="6"/>
      <c r="C20" s="5">
        <v>-0.69852534840000002</v>
      </c>
      <c r="D20" s="5"/>
      <c r="E20" s="10">
        <f t="shared" si="0"/>
        <v>-0.80241849517994235</v>
      </c>
      <c r="F20" s="7"/>
      <c r="G20" s="21">
        <f t="shared" si="7"/>
        <v>374.78627799833811</v>
      </c>
      <c r="H20" s="2">
        <v>1.5921764120000001E-2</v>
      </c>
      <c r="I20" s="5">
        <v>13.598136739999999</v>
      </c>
      <c r="J20" s="5">
        <v>-1</v>
      </c>
      <c r="K20" s="4"/>
      <c r="AM20" s="2">
        <v>2.7672395910000001</v>
      </c>
      <c r="AN20" s="30"/>
      <c r="AO20" s="2">
        <v>-0.69084338680000001</v>
      </c>
      <c r="AP20" s="2"/>
      <c r="AQ20" s="20">
        <f t="shared" si="1"/>
        <v>-0.79359397924616659</v>
      </c>
      <c r="AR20" s="31"/>
      <c r="AS20" s="29">
        <f t="shared" si="8"/>
        <v>401.97922932702107</v>
      </c>
      <c r="AT20" s="2">
        <v>6.9184075970000003E-3</v>
      </c>
      <c r="AU20" s="2">
        <v>11.73588807</v>
      </c>
      <c r="AV20" s="2">
        <v>-1.046410845</v>
      </c>
      <c r="CE20" s="2">
        <f t="shared" si="2"/>
        <v>2.6114504919999999</v>
      </c>
      <c r="CF20" s="19">
        <f t="shared" si="3"/>
        <v>2.7973860510000002</v>
      </c>
      <c r="CG20" s="2">
        <f t="shared" si="4"/>
        <v>379.34874147289906</v>
      </c>
      <c r="CH20" s="24">
        <f t="shared" si="5"/>
        <v>406.35841311622045</v>
      </c>
      <c r="CI20" s="2">
        <v>-0.66949023139999997</v>
      </c>
      <c r="CJ20" s="20">
        <f t="shared" si="6"/>
        <v>-0.76923705678259291</v>
      </c>
    </row>
    <row r="21" spans="1:88" x14ac:dyDescent="0.25">
      <c r="A21" s="5">
        <v>2.6114504919999999</v>
      </c>
      <c r="B21" s="6"/>
      <c r="C21" s="5">
        <v>-0.67806292459999995</v>
      </c>
      <c r="D21" s="5"/>
      <c r="E21" s="10">
        <f t="shared" si="0"/>
        <v>-0.77891265197619941</v>
      </c>
      <c r="F21" s="7"/>
      <c r="G21" s="21">
        <f t="shared" si="7"/>
        <v>379.34874147289906</v>
      </c>
      <c r="H21" s="2">
        <v>1.7994843949999999E-2</v>
      </c>
      <c r="I21" s="5">
        <v>15.80511048</v>
      </c>
      <c r="J21" s="5">
        <v>-2</v>
      </c>
      <c r="K21" s="4"/>
      <c r="AM21" s="2">
        <v>2.7973860510000002</v>
      </c>
      <c r="AN21" s="30"/>
      <c r="AO21" s="2">
        <v>-0.66949023139999997</v>
      </c>
      <c r="AP21" s="2"/>
      <c r="AQ21" s="20">
        <f t="shared" si="1"/>
        <v>-0.7690649240548868</v>
      </c>
      <c r="AR21" s="31"/>
      <c r="AS21" s="29">
        <f t="shared" si="8"/>
        <v>406.35841311622045</v>
      </c>
      <c r="AT21" s="2">
        <v>7.7384699249999998E-3</v>
      </c>
      <c r="AU21" s="2">
        <v>13.62209539</v>
      </c>
      <c r="AV21" s="2">
        <v>-1.3434535460000001</v>
      </c>
      <c r="CE21" s="2">
        <f t="shared" si="2"/>
        <v>2.6346228049999998</v>
      </c>
      <c r="CF21" s="19">
        <f t="shared" si="3"/>
        <v>2.8191493649999999</v>
      </c>
      <c r="CG21" s="2">
        <f t="shared" si="4"/>
        <v>382.7148354503629</v>
      </c>
      <c r="CH21" s="24">
        <f t="shared" si="5"/>
        <v>409.51983080400385</v>
      </c>
      <c r="CI21" s="2">
        <v>-0.64726137539999995</v>
      </c>
      <c r="CJ21" s="20">
        <f t="shared" si="6"/>
        <v>-0.74369634093177739</v>
      </c>
    </row>
    <row r="22" spans="1:88" x14ac:dyDescent="0.25">
      <c r="A22" s="5">
        <v>2.6346228049999998</v>
      </c>
      <c r="B22" s="6"/>
      <c r="C22" s="5">
        <v>-0.65676132949999999</v>
      </c>
      <c r="D22" s="5"/>
      <c r="E22" s="10">
        <f t="shared" si="0"/>
        <v>-0.75444282575697041</v>
      </c>
      <c r="F22" s="7"/>
      <c r="G22" s="21">
        <f t="shared" si="7"/>
        <v>382.7148354503629</v>
      </c>
      <c r="H22" s="2">
        <v>2.025260634E-2</v>
      </c>
      <c r="I22" s="5">
        <v>18.197925940000001</v>
      </c>
      <c r="J22" s="5">
        <v>-2</v>
      </c>
      <c r="K22" s="4"/>
      <c r="AM22" s="2">
        <v>2.8191493649999999</v>
      </c>
      <c r="AN22" s="30"/>
      <c r="AO22" s="2">
        <v>-0.64726137539999995</v>
      </c>
      <c r="AP22" s="2"/>
      <c r="AQ22" s="20">
        <f t="shared" si="1"/>
        <v>-0.74352992346836888</v>
      </c>
      <c r="AR22" s="31"/>
      <c r="AS22" s="29">
        <f t="shared" si="8"/>
        <v>409.51983080400385</v>
      </c>
      <c r="AT22" s="2">
        <v>8.6259907430000001E-3</v>
      </c>
      <c r="AU22" s="2">
        <v>15.66484026</v>
      </c>
      <c r="AV22" s="2">
        <v>-1.6982898120000001</v>
      </c>
      <c r="CE22" s="2">
        <f t="shared" si="2"/>
        <v>2.6504946870000001</v>
      </c>
      <c r="CF22" s="19">
        <f t="shared" si="3"/>
        <v>2.833544624</v>
      </c>
      <c r="CG22" s="2">
        <f t="shared" si="4"/>
        <v>385.02044242240822</v>
      </c>
      <c r="CH22" s="24">
        <f t="shared" si="5"/>
        <v>411.6109381796004</v>
      </c>
      <c r="CI22" s="2">
        <v>-0.62421774669999996</v>
      </c>
      <c r="CJ22" s="20">
        <f t="shared" si="6"/>
        <v>-0.71721946003433512</v>
      </c>
    </row>
    <row r="23" spans="1:88" x14ac:dyDescent="0.25">
      <c r="A23" s="5">
        <v>2.6504946870000001</v>
      </c>
      <c r="B23" s="6"/>
      <c r="C23" s="5">
        <v>-0.63467894930000002</v>
      </c>
      <c r="D23" s="5"/>
      <c r="E23" s="10">
        <f t="shared" si="0"/>
        <v>-0.72907608662479417</v>
      </c>
      <c r="F23" s="7"/>
      <c r="G23" s="21">
        <f t="shared" si="7"/>
        <v>385.02044242240822</v>
      </c>
      <c r="H23" s="2">
        <v>2.2717065030000001E-2</v>
      </c>
      <c r="I23" s="5">
        <v>20.775189619999999</v>
      </c>
      <c r="J23" s="5">
        <v>-2</v>
      </c>
      <c r="K23" s="4"/>
      <c r="AM23" s="2">
        <v>2.833544624</v>
      </c>
      <c r="AN23" s="30"/>
      <c r="AO23" s="2">
        <v>-0.62421774669999996</v>
      </c>
      <c r="AP23" s="2"/>
      <c r="AQ23" s="20">
        <f t="shared" si="1"/>
        <v>-0.71705896732154784</v>
      </c>
      <c r="AR23" s="31"/>
      <c r="AS23" s="29">
        <f t="shared" si="8"/>
        <v>411.6109381796004</v>
      </c>
      <c r="AT23" s="2">
        <v>9.5915580730000002E-3</v>
      </c>
      <c r="AU23" s="2">
        <v>17.86298966</v>
      </c>
      <c r="AV23" s="2">
        <v>-2.1169177879999999</v>
      </c>
      <c r="CE23" s="2">
        <f t="shared" si="2"/>
        <v>2.6599124629999999</v>
      </c>
      <c r="CF23" s="19">
        <f t="shared" si="3"/>
        <v>2.8414664429999998</v>
      </c>
      <c r="CG23" s="2">
        <f t="shared" si="4"/>
        <v>386.38850261884625</v>
      </c>
      <c r="CH23" s="24">
        <f t="shared" si="5"/>
        <v>412.76169025283792</v>
      </c>
      <c r="CI23" s="2">
        <v>-0.60042250620000004</v>
      </c>
      <c r="CJ23" s="20">
        <f t="shared" si="6"/>
        <v>-0.68987898528330371</v>
      </c>
    </row>
    <row r="24" spans="1:88" x14ac:dyDescent="0.25">
      <c r="A24" s="5">
        <v>2.6599124629999999</v>
      </c>
      <c r="B24" s="6"/>
      <c r="C24" s="5">
        <v>-0.6118763102</v>
      </c>
      <c r="D24" s="5"/>
      <c r="E24" s="10">
        <f t="shared" si="0"/>
        <v>-0.70288196296891836</v>
      </c>
      <c r="F24" s="7"/>
      <c r="G24" s="21">
        <f t="shared" si="7"/>
        <v>386.38850261884625</v>
      </c>
      <c r="H24" s="2">
        <v>2.5412438450000002E-2</v>
      </c>
      <c r="I24" s="5">
        <v>23.534212369999999</v>
      </c>
      <c r="J24" s="5">
        <v>-3</v>
      </c>
      <c r="K24" s="4"/>
      <c r="AM24" s="2">
        <v>2.8414664429999998</v>
      </c>
      <c r="AN24" s="30"/>
      <c r="AO24" s="2">
        <v>-0.60042250620000004</v>
      </c>
      <c r="AP24" s="2"/>
      <c r="AQ24" s="20">
        <f t="shared" si="1"/>
        <v>-0.68972461056815337</v>
      </c>
      <c r="AR24" s="31"/>
      <c r="AS24" s="29">
        <f t="shared" si="8"/>
        <v>412.76169025283792</v>
      </c>
      <c r="AT24" s="2">
        <v>1.064709921E-2</v>
      </c>
      <c r="AU24" s="2">
        <v>20.214357119999999</v>
      </c>
      <c r="AV24" s="2">
        <v>-2.6051953339999998</v>
      </c>
      <c r="CE24" s="2">
        <f t="shared" si="2"/>
        <v>2.6636308889999998</v>
      </c>
      <c r="CF24" s="19">
        <f t="shared" si="3"/>
        <v>2.8436923059999999</v>
      </c>
      <c r="CG24" s="2">
        <f t="shared" si="4"/>
        <v>386.9286546254346</v>
      </c>
      <c r="CH24" s="24">
        <f t="shared" si="5"/>
        <v>413.08502716093852</v>
      </c>
      <c r="CI24" s="2">
        <v>-0.57594087500000002</v>
      </c>
      <c r="CJ24" s="20">
        <f t="shared" si="6"/>
        <v>-0.6617498550193055</v>
      </c>
    </row>
    <row r="25" spans="1:88" x14ac:dyDescent="0.25">
      <c r="A25" s="5">
        <v>2.6636308889999998</v>
      </c>
      <c r="B25" s="6"/>
      <c r="C25" s="5">
        <v>-0.58841591280000005</v>
      </c>
      <c r="D25" s="5"/>
      <c r="E25" s="10">
        <f t="shared" si="0"/>
        <v>-0.67593225123526268</v>
      </c>
      <c r="F25" s="7"/>
      <c r="G25" s="21">
        <f t="shared" si="7"/>
        <v>386.9286546254346</v>
      </c>
      <c r="H25" s="2">
        <v>2.8364836340000001E-2</v>
      </c>
      <c r="I25" s="5">
        <v>26.47097845</v>
      </c>
      <c r="J25" s="5">
        <v>-4</v>
      </c>
      <c r="K25" s="4"/>
      <c r="AM25" s="2">
        <v>2.8436923059999999</v>
      </c>
      <c r="AN25" s="30"/>
      <c r="AO25" s="2">
        <v>-0.57594087500000002</v>
      </c>
      <c r="AP25" s="2"/>
      <c r="AQ25" s="20">
        <f t="shared" si="1"/>
        <v>-0.66160177477980164</v>
      </c>
      <c r="AR25" s="31"/>
      <c r="AS25" s="29">
        <f t="shared" si="8"/>
        <v>413.08502716093852</v>
      </c>
      <c r="AT25" s="2">
        <v>1.1805755899999999E-2</v>
      </c>
      <c r="AU25" s="2">
        <v>22.715660209999999</v>
      </c>
      <c r="AV25" s="2">
        <v>-3.168731674</v>
      </c>
      <c r="CE25" s="2">
        <f t="shared" si="2"/>
        <v>2.6623135119999999</v>
      </c>
      <c r="CF25" s="19">
        <f t="shared" si="3"/>
        <v>2.8408885169999998</v>
      </c>
      <c r="CG25" s="2">
        <f t="shared" si="4"/>
        <v>386.73728767877941</v>
      </c>
      <c r="CH25" s="24">
        <f t="shared" si="5"/>
        <v>412.67773863229746</v>
      </c>
      <c r="CI25" s="2">
        <v>-0.55083995559999999</v>
      </c>
      <c r="CJ25" s="20">
        <f t="shared" si="6"/>
        <v>-0.63290916929127605</v>
      </c>
    </row>
    <row r="26" spans="1:88" x14ac:dyDescent="0.25">
      <c r="A26" s="5">
        <v>2.6623135119999999</v>
      </c>
      <c r="B26" s="6"/>
      <c r="C26" s="5">
        <v>-0.56436206030000002</v>
      </c>
      <c r="D26" s="5"/>
      <c r="E26" s="10">
        <f t="shared" si="0"/>
        <v>-0.64830081857424249</v>
      </c>
      <c r="F26" s="7"/>
      <c r="G26" s="21">
        <f t="shared" si="7"/>
        <v>386.73728767877941</v>
      </c>
      <c r="H26" s="2">
        <v>3.1601879460000003E-2</v>
      </c>
      <c r="I26" s="5">
        <v>29.580118219999999</v>
      </c>
      <c r="J26" s="5">
        <v>-4</v>
      </c>
      <c r="K26" s="4"/>
      <c r="AM26" s="2">
        <v>2.8408885169999998</v>
      </c>
      <c r="AN26" s="30"/>
      <c r="AO26" s="2">
        <v>-0.55083995559999999</v>
      </c>
      <c r="AP26" s="2"/>
      <c r="AQ26" s="20">
        <f t="shared" si="1"/>
        <v>-0.63276754275269509</v>
      </c>
      <c r="AR26" s="31"/>
      <c r="AS26" s="29">
        <f t="shared" si="8"/>
        <v>412.67773863229746</v>
      </c>
      <c r="AT26" s="2">
        <v>1.30817329E-2</v>
      </c>
      <c r="AU26" s="2">
        <v>25.362480470000001</v>
      </c>
      <c r="AV26" s="2">
        <v>-3.812775448</v>
      </c>
      <c r="CE26" s="2">
        <f t="shared" si="2"/>
        <v>2.6565336369999999</v>
      </c>
      <c r="CF26" s="19">
        <f t="shared" si="3"/>
        <v>2.8336161679999998</v>
      </c>
      <c r="CG26" s="2">
        <f t="shared" si="4"/>
        <v>385.89768213625143</v>
      </c>
      <c r="CH26" s="24">
        <f t="shared" si="5"/>
        <v>411.62133091974351</v>
      </c>
      <c r="CI26" s="2">
        <v>-0.52518854780000002</v>
      </c>
      <c r="CJ26" s="20">
        <f t="shared" si="6"/>
        <v>-0.60343597832754892</v>
      </c>
    </row>
    <row r="27" spans="1:88" x14ac:dyDescent="0.25">
      <c r="A27" s="5">
        <v>2.6565336369999999</v>
      </c>
      <c r="B27" s="6"/>
      <c r="C27" s="5">
        <v>-0.53978068260000001</v>
      </c>
      <c r="D27" s="5"/>
      <c r="E27" s="10">
        <f t="shared" si="0"/>
        <v>-0.62006340077879141</v>
      </c>
      <c r="F27" s="7"/>
      <c r="G27" s="21">
        <f t="shared" si="7"/>
        <v>385.89768213625143</v>
      </c>
      <c r="H27" s="2">
        <v>3.5152245929999999E-2</v>
      </c>
      <c r="I27" s="5">
        <v>32.85488522</v>
      </c>
      <c r="J27" s="5">
        <v>-5</v>
      </c>
      <c r="K27" s="4"/>
      <c r="AM27" s="2">
        <v>2.8336161679999998</v>
      </c>
      <c r="AN27" s="30"/>
      <c r="AO27" s="2">
        <v>-0.52518854780000002</v>
      </c>
      <c r="AP27" s="2"/>
      <c r="AQ27" s="20">
        <f t="shared" si="1"/>
        <v>-0.60330094702604098</v>
      </c>
      <c r="AR27" s="31"/>
      <c r="AS27" s="29">
        <f t="shared" si="8"/>
        <v>411.62133091974351</v>
      </c>
      <c r="AT27" s="2">
        <v>1.4490118789999999E-2</v>
      </c>
      <c r="AU27" s="2">
        <v>28.149227490000001</v>
      </c>
      <c r="AV27" s="2">
        <v>-4.5421008609999998</v>
      </c>
      <c r="CE27" s="2">
        <f t="shared" si="2"/>
        <v>2.6467729860000002</v>
      </c>
      <c r="CF27" s="19">
        <f t="shared" si="3"/>
        <v>2.8223339730000001</v>
      </c>
      <c r="CG27" s="2">
        <f t="shared" si="4"/>
        <v>384.47981467747746</v>
      </c>
      <c r="CH27" s="24">
        <f t="shared" si="5"/>
        <v>409.98243847762643</v>
      </c>
      <c r="CI27" s="2">
        <v>-0.49905696040000003</v>
      </c>
      <c r="CJ27" s="20">
        <f t="shared" si="6"/>
        <v>-0.5734110661811862</v>
      </c>
    </row>
    <row r="28" spans="1:88" x14ac:dyDescent="0.25">
      <c r="A28" s="5">
        <v>2.6467729860000002</v>
      </c>
      <c r="B28" s="6"/>
      <c r="C28" s="5">
        <v>-0.51473915569999995</v>
      </c>
      <c r="D28" s="5"/>
      <c r="E28" s="10">
        <f t="shared" si="0"/>
        <v>-0.59129739482334298</v>
      </c>
      <c r="F28" s="7"/>
      <c r="G28" s="21">
        <f t="shared" si="7"/>
        <v>384.47981467747746</v>
      </c>
      <c r="H28" s="2">
        <v>3.9045130599999998E-2</v>
      </c>
      <c r="I28" s="5">
        <v>36.2871357</v>
      </c>
      <c r="J28" s="5">
        <v>-6</v>
      </c>
      <c r="K28" s="4"/>
      <c r="AM28" s="2">
        <v>2.8223339730000001</v>
      </c>
      <c r="AN28" s="30"/>
      <c r="AO28" s="2">
        <v>-0.49905696040000003</v>
      </c>
      <c r="AP28" s="2"/>
      <c r="AQ28" s="20">
        <f t="shared" si="1"/>
        <v>-0.57328275357579583</v>
      </c>
      <c r="AR28" s="31"/>
      <c r="AS28" s="29">
        <f t="shared" si="8"/>
        <v>409.98243847762643</v>
      </c>
      <c r="AT28" s="2">
        <v>1.6046675539999999E-2</v>
      </c>
      <c r="AU28" s="2">
        <v>31.069106080000001</v>
      </c>
      <c r="AV28" s="2">
        <v>-5.3608937020000003</v>
      </c>
      <c r="CE28" s="2">
        <f t="shared" si="2"/>
        <v>2.633413043</v>
      </c>
      <c r="CF28" s="19">
        <f t="shared" si="3"/>
        <v>2.807392669</v>
      </c>
      <c r="CG28" s="2">
        <f t="shared" si="4"/>
        <v>382.53910104774354</v>
      </c>
      <c r="CH28" s="24">
        <f t="shared" si="5"/>
        <v>407.81201063083114</v>
      </c>
      <c r="CI28" s="2">
        <v>-0.47251681820000002</v>
      </c>
      <c r="CJ28" s="20">
        <f t="shared" si="6"/>
        <v>-0.54291672897505938</v>
      </c>
    </row>
    <row r="29" spans="1:88" x14ac:dyDescent="0.25">
      <c r="A29" s="5">
        <v>2.633413043</v>
      </c>
      <c r="B29" s="6"/>
      <c r="C29" s="5">
        <v>-0.48930611660000001</v>
      </c>
      <c r="D29" s="5"/>
      <c r="E29" s="10">
        <f t="shared" si="0"/>
        <v>-0.56208164623351753</v>
      </c>
      <c r="F29" s="7"/>
      <c r="G29" s="21">
        <f t="shared" si="7"/>
        <v>382.53910104774354</v>
      </c>
      <c r="H29" s="2">
        <v>4.3309587429999997E-2</v>
      </c>
      <c r="I29" s="5">
        <v>39.867303</v>
      </c>
      <c r="J29" s="5">
        <v>-7</v>
      </c>
      <c r="K29" s="4"/>
      <c r="AM29" s="2">
        <v>2.807392669</v>
      </c>
      <c r="AN29" s="30"/>
      <c r="AO29" s="2">
        <v>-0.47251681820000002</v>
      </c>
      <c r="AP29" s="2"/>
      <c r="AQ29" s="20">
        <f t="shared" si="1"/>
        <v>-0.54279524010936864</v>
      </c>
      <c r="AR29" s="31"/>
      <c r="AS29" s="29">
        <f t="shared" si="8"/>
        <v>407.81201063083114</v>
      </c>
      <c r="AT29" s="2">
        <v>1.7767589310000002E-2</v>
      </c>
      <c r="AU29" s="2">
        <v>34.1140811</v>
      </c>
      <c r="AV29" s="2">
        <v>-6.2726389490000001</v>
      </c>
      <c r="CE29" s="2">
        <f t="shared" si="2"/>
        <v>2.6167076659999999</v>
      </c>
      <c r="CF29" s="19">
        <f t="shared" si="3"/>
        <v>2.789008806</v>
      </c>
      <c r="CG29" s="2">
        <f t="shared" si="4"/>
        <v>380.11241757808028</v>
      </c>
      <c r="CH29" s="24">
        <f t="shared" si="5"/>
        <v>405.14150421540251</v>
      </c>
      <c r="CI29" s="2">
        <v>-0.44564086590000002</v>
      </c>
      <c r="CJ29" s="20">
        <f t="shared" si="6"/>
        <v>-0.51203654958506417</v>
      </c>
    </row>
    <row r="30" spans="1:88" x14ac:dyDescent="0.25">
      <c r="A30" s="5">
        <v>2.6167076659999999</v>
      </c>
      <c r="B30" s="6"/>
      <c r="C30" s="5">
        <v>-0.46355127550000003</v>
      </c>
      <c r="D30" s="5"/>
      <c r="E30" s="10">
        <f t="shared" si="0"/>
        <v>-0.53249623335423246</v>
      </c>
      <c r="F30" s="7"/>
      <c r="G30" s="21">
        <f t="shared" si="7"/>
        <v>380.11241757808028</v>
      </c>
      <c r="H30" s="2">
        <v>4.7973682910000003E-2</v>
      </c>
      <c r="I30" s="5">
        <v>43.58434544</v>
      </c>
      <c r="J30" s="5">
        <v>-8</v>
      </c>
      <c r="K30" s="4"/>
      <c r="AM30" s="2">
        <v>2.789008806</v>
      </c>
      <c r="AN30" s="30"/>
      <c r="AO30" s="2">
        <v>-0.44564086590000002</v>
      </c>
      <c r="AP30" s="2"/>
      <c r="AQ30" s="20">
        <f t="shared" si="1"/>
        <v>-0.51192197079925539</v>
      </c>
      <c r="AR30" s="31"/>
      <c r="AS30" s="29">
        <f t="shared" si="8"/>
        <v>405.14150421540251</v>
      </c>
      <c r="AT30" s="2">
        <v>1.9669163100000001E-2</v>
      </c>
      <c r="AU30" s="2">
        <v>37.274822229999998</v>
      </c>
      <c r="AV30" s="2">
        <v>-7.280011279</v>
      </c>
      <c r="CE30" s="2">
        <f t="shared" si="2"/>
        <v>2.596702622</v>
      </c>
      <c r="CF30" s="19">
        <f t="shared" si="3"/>
        <v>2.767181339</v>
      </c>
      <c r="CG30" s="2">
        <f t="shared" si="4"/>
        <v>377.2064125484012</v>
      </c>
      <c r="CH30" s="24">
        <f t="shared" si="5"/>
        <v>401.97076743086183</v>
      </c>
      <c r="CI30" s="2">
        <v>-0.41850276870000003</v>
      </c>
      <c r="CJ30" s="20">
        <f t="shared" si="6"/>
        <v>-0.48085516853167082</v>
      </c>
    </row>
    <row r="31" spans="1:88" x14ac:dyDescent="0.25">
      <c r="A31" s="5">
        <v>2.596702622</v>
      </c>
      <c r="B31" s="6"/>
      <c r="C31" s="5">
        <v>-0.4375452246</v>
      </c>
      <c r="D31" s="5"/>
      <c r="E31" s="10">
        <f t="shared" si="0"/>
        <v>-0.50262224771212305</v>
      </c>
      <c r="F31" s="7"/>
      <c r="G31" s="21">
        <f t="shared" si="7"/>
        <v>377.2064125484012</v>
      </c>
      <c r="H31" s="2">
        <v>5.3063251300000003E-2</v>
      </c>
      <c r="I31" s="5">
        <v>47.42560452</v>
      </c>
      <c r="J31" s="5">
        <v>-10</v>
      </c>
      <c r="K31" s="4"/>
      <c r="AM31" s="2">
        <v>2.767181339</v>
      </c>
      <c r="AN31" s="30"/>
      <c r="AO31" s="2">
        <v>-0.41850276870000003</v>
      </c>
      <c r="AP31" s="2"/>
      <c r="AQ31" s="20">
        <f t="shared" si="1"/>
        <v>-0.48074756722585604</v>
      </c>
      <c r="AR31" s="31"/>
      <c r="AS31" s="29">
        <f t="shared" si="8"/>
        <v>401.97076743086183</v>
      </c>
      <c r="AT31" s="2">
        <v>2.1767401419999999E-2</v>
      </c>
      <c r="AU31" s="2">
        <v>40.540575590000003</v>
      </c>
      <c r="AV31" s="2">
        <v>-8.3847683530000001</v>
      </c>
      <c r="CE31" s="2">
        <f t="shared" si="2"/>
        <v>2.5729614490000001</v>
      </c>
      <c r="CF31" s="19">
        <f t="shared" si="3"/>
        <v>2.7414012859999999</v>
      </c>
      <c r="CG31" s="2">
        <f t="shared" si="4"/>
        <v>373.75768391033961</v>
      </c>
      <c r="CH31" s="24">
        <f t="shared" si="5"/>
        <v>398.22586371141017</v>
      </c>
      <c r="CI31" s="2">
        <v>-0.3911769101</v>
      </c>
      <c r="CJ31" s="20">
        <f t="shared" si="6"/>
        <v>-0.44945805165430375</v>
      </c>
    </row>
    <row r="32" spans="1:88" x14ac:dyDescent="0.25">
      <c r="A32" s="5">
        <v>2.5729614490000001</v>
      </c>
      <c r="B32" s="6"/>
      <c r="C32" s="5">
        <v>-0.41135924470000002</v>
      </c>
      <c r="D32" s="5"/>
      <c r="E32" s="10">
        <f t="shared" si="0"/>
        <v>-0.47254157185075418</v>
      </c>
      <c r="F32" s="7"/>
      <c r="G32" s="21">
        <f t="shared" si="7"/>
        <v>373.75768391033961</v>
      </c>
      <c r="H32" s="2">
        <v>5.8599392780000002E-2</v>
      </c>
      <c r="I32" s="5">
        <v>51.37633838</v>
      </c>
      <c r="J32" s="5">
        <v>-11</v>
      </c>
      <c r="K32" s="4"/>
      <c r="AM32" s="2">
        <v>2.7414012859999999</v>
      </c>
      <c r="AN32" s="30"/>
      <c r="AO32" s="2">
        <v>-0.3911769101</v>
      </c>
      <c r="AP32" s="2"/>
      <c r="AQ32" s="20">
        <f t="shared" si="1"/>
        <v>-0.44935747610384297</v>
      </c>
      <c r="AR32" s="31"/>
      <c r="AS32" s="29">
        <f t="shared" si="8"/>
        <v>398.22586371141017</v>
      </c>
      <c r="AT32" s="2">
        <v>2.407730856E-2</v>
      </c>
      <c r="AU32" s="2">
        <v>43.89876469</v>
      </c>
      <c r="AV32" s="2">
        <v>-9.5876413100000004</v>
      </c>
      <c r="CE32" s="2">
        <f t="shared" si="2"/>
        <v>2.5430580890000001</v>
      </c>
      <c r="CF32" s="19">
        <f t="shared" si="3"/>
        <v>2.7090849590000001</v>
      </c>
      <c r="CG32" s="2">
        <f t="shared" si="4"/>
        <v>369.41381370618984</v>
      </c>
      <c r="CH32" s="24">
        <f t="shared" si="5"/>
        <v>393.53147719555182</v>
      </c>
      <c r="CI32" s="2">
        <v>-0.3637381885</v>
      </c>
      <c r="CJ32" s="20">
        <f t="shared" si="6"/>
        <v>-0.41793125640693551</v>
      </c>
    </row>
    <row r="33" spans="1:88" x14ac:dyDescent="0.25">
      <c r="A33" s="5">
        <v>2.5430580890000001</v>
      </c>
      <c r="B33" s="6"/>
      <c r="C33" s="5">
        <v>-0.38506510980000003</v>
      </c>
      <c r="D33" s="5"/>
      <c r="E33" s="10">
        <f t="shared" si="0"/>
        <v>-0.4423366548683651</v>
      </c>
      <c r="F33" s="7"/>
      <c r="G33" s="21">
        <f t="shared" si="7"/>
        <v>369.41381370618984</v>
      </c>
      <c r="H33" s="2">
        <v>6.4589958789999999E-2</v>
      </c>
      <c r="I33" s="5">
        <v>55.417529379999998</v>
      </c>
      <c r="J33" s="5">
        <v>-13</v>
      </c>
      <c r="K33" s="4"/>
      <c r="AM33" s="2">
        <v>2.7090849590000001</v>
      </c>
      <c r="AN33" s="30"/>
      <c r="AO33" s="2">
        <v>-0.3637381885</v>
      </c>
      <c r="AP33" s="2"/>
      <c r="AQ33" s="20">
        <f t="shared" si="1"/>
        <v>-0.41783773563005061</v>
      </c>
      <c r="AR33" s="31"/>
      <c r="AS33" s="29">
        <f t="shared" si="8"/>
        <v>393.53147719555182</v>
      </c>
      <c r="AT33" s="2">
        <v>2.6611329390000001E-2</v>
      </c>
      <c r="AU33" s="2">
        <v>47.333140980000003</v>
      </c>
      <c r="AV33" s="2">
        <v>-10.888184539999999</v>
      </c>
      <c r="CE33" s="2">
        <f t="shared" si="2"/>
        <v>2.5177746220000001</v>
      </c>
      <c r="CF33" s="19">
        <f t="shared" si="3"/>
        <v>2.6737828480000001</v>
      </c>
      <c r="CG33" s="2">
        <f t="shared" si="4"/>
        <v>365.74104586475318</v>
      </c>
      <c r="CH33" s="24">
        <f t="shared" si="5"/>
        <v>388.40336489925841</v>
      </c>
      <c r="CI33" s="2">
        <v>-0.3494605334</v>
      </c>
      <c r="CJ33" s="20">
        <f t="shared" si="6"/>
        <v>-0.40152638465262452</v>
      </c>
    </row>
    <row r="34" spans="1:88" x14ac:dyDescent="0.25">
      <c r="A34" s="5">
        <v>2.5177746220000001</v>
      </c>
      <c r="B34" s="6"/>
      <c r="C34" s="5">
        <v>-0.37132677819999999</v>
      </c>
      <c r="D34" s="5"/>
      <c r="E34" s="10">
        <f t="shared" si="0"/>
        <v>-0.42655499226441557</v>
      </c>
      <c r="F34" s="7"/>
      <c r="G34" s="21">
        <f t="shared" si="7"/>
        <v>365.74104586475318</v>
      </c>
      <c r="H34" s="2">
        <v>6.4589958789999999E-2</v>
      </c>
      <c r="I34" s="5">
        <v>55.576746559999997</v>
      </c>
      <c r="J34" s="5">
        <v>-13</v>
      </c>
      <c r="K34" s="4"/>
      <c r="AM34" s="2">
        <v>2.6737828480000001</v>
      </c>
      <c r="AN34" s="30"/>
      <c r="AO34" s="2">
        <v>-0.3494605334</v>
      </c>
      <c r="AP34" s="2"/>
      <c r="AQ34" s="20">
        <f t="shared" si="1"/>
        <v>-0.40143653480565372</v>
      </c>
      <c r="AR34" s="31"/>
      <c r="AS34" s="29">
        <f t="shared" si="8"/>
        <v>388.40336489925841</v>
      </c>
      <c r="AT34" s="2">
        <v>2.6611329390000001E-2</v>
      </c>
      <c r="AU34" s="2">
        <v>47.468485459999997</v>
      </c>
      <c r="AV34" s="2">
        <v>-10.93939986</v>
      </c>
      <c r="CE34" s="2">
        <f t="shared" si="2"/>
        <v>2.5235630050000002</v>
      </c>
      <c r="CF34" s="19">
        <f t="shared" si="3"/>
        <v>2.686995054</v>
      </c>
      <c r="CG34" s="2">
        <f t="shared" si="4"/>
        <v>366.58188731012615</v>
      </c>
      <c r="CH34" s="24">
        <f t="shared" si="5"/>
        <v>390.3226177181553</v>
      </c>
      <c r="CI34" s="2">
        <v>-0.34730599299999998</v>
      </c>
      <c r="CJ34" s="20">
        <f t="shared" si="6"/>
        <v>-0.39905084096537846</v>
      </c>
    </row>
    <row r="35" spans="1:88" x14ac:dyDescent="0.25">
      <c r="A35" s="5">
        <v>2.5235630050000002</v>
      </c>
      <c r="B35" s="6"/>
      <c r="C35" s="5">
        <v>-0.36903742509999998</v>
      </c>
      <c r="D35" s="5"/>
      <c r="E35" s="10">
        <f t="shared" si="0"/>
        <v>-0.42392513885444943</v>
      </c>
      <c r="F35" s="7"/>
      <c r="G35" s="21">
        <f t="shared" si="7"/>
        <v>366.58188731012615</v>
      </c>
      <c r="H35" s="2">
        <v>6.4589958789999999E-2</v>
      </c>
      <c r="I35" s="5">
        <v>56.054994430000001</v>
      </c>
      <c r="J35" s="5">
        <v>-13</v>
      </c>
      <c r="K35" s="4"/>
      <c r="AM35" s="2">
        <v>2.686995054</v>
      </c>
      <c r="AN35" s="30"/>
      <c r="AO35" s="2">
        <v>-0.34730599299999998</v>
      </c>
      <c r="AP35" s="2"/>
      <c r="AQ35" s="20">
        <f t="shared" si="1"/>
        <v>-0.39896154507259335</v>
      </c>
      <c r="AR35" s="31"/>
      <c r="AS35" s="29">
        <f t="shared" si="8"/>
        <v>390.3226177181553</v>
      </c>
      <c r="AT35" s="2">
        <v>2.6611329390000001E-2</v>
      </c>
      <c r="AU35" s="2">
        <v>47.875014290000003</v>
      </c>
      <c r="AV35" s="2">
        <v>-11.09404322</v>
      </c>
      <c r="CE35" s="2">
        <f t="shared" si="2"/>
        <v>2.5341259260000002</v>
      </c>
      <c r="CF35" s="19">
        <f t="shared" si="3"/>
        <v>2.6988869420000001</v>
      </c>
      <c r="CG35" s="2">
        <f t="shared" si="4"/>
        <v>368.11629541010848</v>
      </c>
      <c r="CH35" s="24">
        <f t="shared" si="5"/>
        <v>392.05007637010232</v>
      </c>
      <c r="CI35" s="2">
        <v>-0.34301019570000002</v>
      </c>
      <c r="CJ35" s="20">
        <f t="shared" si="6"/>
        <v>-0.39411501618915068</v>
      </c>
    </row>
    <row r="36" spans="1:88" x14ac:dyDescent="0.25">
      <c r="A36" s="5">
        <v>2.5341259260000002</v>
      </c>
      <c r="B36" s="6"/>
      <c r="C36" s="5">
        <v>-0.36447283359999999</v>
      </c>
      <c r="D36" s="5"/>
      <c r="E36" s="10">
        <f t="shared" si="0"/>
        <v>-0.41868164604358615</v>
      </c>
      <c r="F36" s="7"/>
      <c r="G36" s="21">
        <f t="shared" si="7"/>
        <v>368.11629541010848</v>
      </c>
      <c r="H36" s="2">
        <v>6.4589958789999999E-2</v>
      </c>
      <c r="I36" s="5">
        <v>56.851690009999999</v>
      </c>
      <c r="J36" s="5">
        <v>-13</v>
      </c>
      <c r="K36" s="4"/>
      <c r="AM36" s="2">
        <v>2.6988869420000001</v>
      </c>
      <c r="AN36" s="30"/>
      <c r="AO36" s="2">
        <v>-0.34301019570000002</v>
      </c>
      <c r="AP36" s="2"/>
      <c r="AQ36" s="20">
        <f t="shared" si="1"/>
        <v>-0.39402682478941453</v>
      </c>
      <c r="AR36" s="31"/>
      <c r="AS36" s="29">
        <f t="shared" si="8"/>
        <v>392.05007637010232</v>
      </c>
      <c r="AT36" s="2">
        <v>2.6611329390000001E-2</v>
      </c>
      <c r="AU36" s="2">
        <v>48.552206239999997</v>
      </c>
      <c r="AV36" s="2">
        <v>-11.35435331</v>
      </c>
      <c r="CE36" s="2">
        <f t="shared" si="2"/>
        <v>2.545655446</v>
      </c>
      <c r="CF36" s="19">
        <f t="shared" si="3"/>
        <v>2.7110137569999999</v>
      </c>
      <c r="CG36" s="2">
        <f t="shared" si="4"/>
        <v>369.79111517605276</v>
      </c>
      <c r="CH36" s="24">
        <f t="shared" si="5"/>
        <v>393.81166136756531</v>
      </c>
      <c r="CI36" s="2">
        <v>-0.33659962640000002</v>
      </c>
      <c r="CJ36" s="20">
        <f t="shared" si="6"/>
        <v>-0.38674934118845516</v>
      </c>
    </row>
    <row r="37" spans="1:88" x14ac:dyDescent="0.25">
      <c r="A37" s="5">
        <v>2.545655446</v>
      </c>
      <c r="B37" s="6"/>
      <c r="C37" s="5">
        <v>-0.35766114589999998</v>
      </c>
      <c r="D37" s="5"/>
      <c r="E37" s="10">
        <f t="shared" si="0"/>
        <v>-0.41085684168052417</v>
      </c>
      <c r="F37" s="7"/>
      <c r="G37" s="21">
        <f t="shared" si="7"/>
        <v>369.79111517605276</v>
      </c>
      <c r="H37" s="2">
        <v>6.4589958789999999E-2</v>
      </c>
      <c r="I37" s="5">
        <v>57.964414650000002</v>
      </c>
      <c r="J37" s="5">
        <v>-14</v>
      </c>
      <c r="K37" s="4"/>
      <c r="AM37" s="2">
        <v>2.7110137569999999</v>
      </c>
      <c r="AN37" s="30"/>
      <c r="AO37" s="2">
        <v>-0.33659962640000002</v>
      </c>
      <c r="AP37" s="2"/>
      <c r="AQ37" s="20">
        <f t="shared" si="1"/>
        <v>-0.38666279801109477</v>
      </c>
      <c r="AR37" s="31"/>
      <c r="AS37" s="29">
        <f t="shared" si="8"/>
        <v>393.81166136756531</v>
      </c>
      <c r="AT37" s="2">
        <v>2.6611329390000001E-2</v>
      </c>
      <c r="AU37" s="2">
        <v>49.497962010000002</v>
      </c>
      <c r="AV37" s="2">
        <v>-11.723592829999999</v>
      </c>
      <c r="CE37" s="2">
        <f t="shared" si="2"/>
        <v>2.5577085460000002</v>
      </c>
      <c r="CF37" s="19">
        <f t="shared" si="3"/>
        <v>2.7235876210000001</v>
      </c>
      <c r="CG37" s="2">
        <f t="shared" si="4"/>
        <v>371.54199206606239</v>
      </c>
      <c r="CH37" s="24">
        <f t="shared" si="5"/>
        <v>395.63818631929757</v>
      </c>
      <c r="CI37" s="2">
        <v>-0.32811380849999999</v>
      </c>
      <c r="CJ37" s="20">
        <f t="shared" si="6"/>
        <v>-0.37699922792371204</v>
      </c>
    </row>
    <row r="38" spans="1:88" x14ac:dyDescent="0.25">
      <c r="A38" s="5">
        <v>2.5577085460000002</v>
      </c>
      <c r="B38" s="6"/>
      <c r="C38" s="5">
        <v>-0.34864435830000001</v>
      </c>
      <c r="D38" s="5"/>
      <c r="E38" s="10">
        <f t="shared" si="0"/>
        <v>-0.40049896826344383</v>
      </c>
      <c r="F38" s="7"/>
      <c r="G38" s="21">
        <f t="shared" si="7"/>
        <v>371.54199206606239</v>
      </c>
      <c r="H38" s="2">
        <v>6.4589958789999999E-2</v>
      </c>
      <c r="I38" s="5">
        <v>59.388945569999997</v>
      </c>
      <c r="J38" s="5">
        <v>-14</v>
      </c>
      <c r="K38" s="4"/>
      <c r="AM38" s="2">
        <v>2.7235876210000001</v>
      </c>
      <c r="AN38" s="30"/>
      <c r="AO38" s="2">
        <v>-0.32811380849999999</v>
      </c>
      <c r="AP38" s="2"/>
      <c r="AQ38" s="20">
        <f t="shared" si="1"/>
        <v>-0.37691486653618733</v>
      </c>
      <c r="AR38" s="31"/>
      <c r="AS38" s="29">
        <f t="shared" si="8"/>
        <v>395.63818631929757</v>
      </c>
      <c r="AT38" s="2">
        <v>2.6611329390000001E-2</v>
      </c>
      <c r="AU38" s="2">
        <v>50.708637850000002</v>
      </c>
      <c r="AV38" s="2">
        <v>-12.20593057</v>
      </c>
      <c r="CE38" s="2">
        <f t="shared" si="2"/>
        <v>2.5702876400000001</v>
      </c>
      <c r="CF38" s="19">
        <f t="shared" si="3"/>
        <v>2.7366867720000001</v>
      </c>
      <c r="CG38" s="2">
        <f t="shared" si="4"/>
        <v>373.36927674650627</v>
      </c>
      <c r="CH38" s="24">
        <f t="shared" si="5"/>
        <v>397.54101636008761</v>
      </c>
      <c r="CI38" s="2">
        <v>-0.31760505989999999</v>
      </c>
      <c r="CJ38" s="20">
        <f t="shared" si="6"/>
        <v>-0.36492478909787884</v>
      </c>
    </row>
    <row r="39" spans="1:88" x14ac:dyDescent="0.25">
      <c r="A39" s="5">
        <v>2.5702876400000001</v>
      </c>
      <c r="B39" s="6"/>
      <c r="C39" s="5">
        <v>-0.33747806219999998</v>
      </c>
      <c r="D39" s="5"/>
      <c r="E39" s="10">
        <f t="shared" si="0"/>
        <v>-0.38767188541839176</v>
      </c>
      <c r="F39" s="7"/>
      <c r="G39" s="21">
        <f t="shared" si="7"/>
        <v>373.36927674650627</v>
      </c>
      <c r="H39" s="2">
        <v>6.4589958789999999E-2</v>
      </c>
      <c r="I39" s="5">
        <v>61.11926261</v>
      </c>
      <c r="J39" s="5">
        <v>-15</v>
      </c>
      <c r="K39" s="4"/>
      <c r="AM39" s="2">
        <v>2.7366867720000001</v>
      </c>
      <c r="AN39" s="30"/>
      <c r="AO39" s="2">
        <v>-0.31760505989999999</v>
      </c>
      <c r="AP39" s="2"/>
      <c r="AQ39" s="20">
        <f t="shared" si="1"/>
        <v>-0.36484312961618709</v>
      </c>
      <c r="AR39" s="31"/>
      <c r="AS39" s="29">
        <f t="shared" si="8"/>
        <v>397.54101636008761</v>
      </c>
      <c r="AT39" s="2">
        <v>2.6611329390000001E-2</v>
      </c>
      <c r="AU39" s="2">
        <v>52.179057309999997</v>
      </c>
      <c r="AV39" s="2">
        <v>-12.806279480000001</v>
      </c>
      <c r="CE39" s="2">
        <f t="shared" si="2"/>
        <v>2.5833341619999999</v>
      </c>
      <c r="CF39" s="19">
        <f t="shared" si="3"/>
        <v>2.7502439660000002</v>
      </c>
      <c r="CG39" s="2">
        <f t="shared" si="4"/>
        <v>375.2644617084498</v>
      </c>
      <c r="CH39" s="24">
        <f t="shared" si="5"/>
        <v>399.51038338334115</v>
      </c>
      <c r="CI39" s="2">
        <v>-0.30513817050000003</v>
      </c>
      <c r="CJ39" s="20">
        <f t="shared" si="6"/>
        <v>-0.3506004676074278</v>
      </c>
    </row>
    <row r="40" spans="1:88" x14ac:dyDescent="0.25">
      <c r="A40" s="5">
        <v>2.5833341619999999</v>
      </c>
      <c r="B40" s="6"/>
      <c r="C40" s="5">
        <v>-0.32423110170000002</v>
      </c>
      <c r="D40" s="5"/>
      <c r="E40" s="10">
        <f t="shared" si="0"/>
        <v>-0.37245467657340758</v>
      </c>
      <c r="F40" s="7"/>
      <c r="G40" s="21">
        <f t="shared" si="7"/>
        <v>375.2644617084498</v>
      </c>
      <c r="H40" s="2">
        <v>6.4589958789999999E-2</v>
      </c>
      <c r="I40" s="5">
        <v>63.147517569999998</v>
      </c>
      <c r="J40" s="5">
        <v>-16</v>
      </c>
      <c r="K40" s="4"/>
      <c r="AM40" s="2">
        <v>2.7502439660000002</v>
      </c>
      <c r="AN40" s="30"/>
      <c r="AO40" s="2">
        <v>-0.30513817050000003</v>
      </c>
      <c r="AP40" s="2"/>
      <c r="AQ40" s="20">
        <f t="shared" si="1"/>
        <v>-0.35052201348942585</v>
      </c>
      <c r="AR40" s="31"/>
      <c r="AS40" s="29">
        <f t="shared" si="8"/>
        <v>399.51038338334115</v>
      </c>
      <c r="AT40" s="2">
        <v>2.6611329390000001E-2</v>
      </c>
      <c r="AU40" s="2">
        <v>53.902481829999999</v>
      </c>
      <c r="AV40" s="2">
        <v>-13.530094180000001</v>
      </c>
      <c r="CE40" s="2">
        <f t="shared" si="2"/>
        <v>2.5967078749999999</v>
      </c>
      <c r="CF40" s="19">
        <f t="shared" si="3"/>
        <v>2.7641050329999999</v>
      </c>
      <c r="CG40" s="2">
        <f t="shared" si="4"/>
        <v>377.207175618176</v>
      </c>
      <c r="CH40" s="24">
        <f t="shared" si="5"/>
        <v>401.52389209737936</v>
      </c>
      <c r="CI40" s="2">
        <v>-0.2907900028</v>
      </c>
      <c r="CJ40" s="20">
        <f t="shared" si="6"/>
        <v>-0.33411457763605235</v>
      </c>
    </row>
    <row r="41" spans="1:88" x14ac:dyDescent="0.25">
      <c r="A41" s="5">
        <v>2.5967078749999999</v>
      </c>
      <c r="B41" s="6"/>
      <c r="C41" s="5">
        <v>-0.30898514869999999</v>
      </c>
      <c r="D41" s="5"/>
      <c r="E41" s="10">
        <f t="shared" si="0"/>
        <v>-0.35494116086225153</v>
      </c>
      <c r="F41" s="7"/>
      <c r="G41" s="21">
        <f t="shared" si="7"/>
        <v>377.207175618176</v>
      </c>
      <c r="H41" s="2">
        <v>6.4589958789999999E-2</v>
      </c>
      <c r="I41" s="5">
        <v>65.463972949999999</v>
      </c>
      <c r="J41" s="5">
        <v>-17</v>
      </c>
      <c r="K41" s="4"/>
      <c r="AM41" s="2">
        <v>2.7641050329999999</v>
      </c>
      <c r="AN41" s="30"/>
      <c r="AO41" s="2">
        <v>-0.2907900028</v>
      </c>
      <c r="AP41" s="2"/>
      <c r="AQ41" s="20">
        <f t="shared" si="1"/>
        <v>-0.33403981257746895</v>
      </c>
      <c r="AR41" s="31"/>
      <c r="AS41" s="29">
        <f t="shared" si="8"/>
        <v>401.52389209737936</v>
      </c>
      <c r="AT41" s="2">
        <v>2.6611329390000001E-2</v>
      </c>
      <c r="AU41" s="2">
        <v>55.870554470000002</v>
      </c>
      <c r="AV41" s="2">
        <v>-14.38313192</v>
      </c>
      <c r="CE41" s="2">
        <f t="shared" si="2"/>
        <v>2.6102175590000001</v>
      </c>
      <c r="CF41" s="19">
        <f t="shared" si="3"/>
        <v>2.7780649679999998</v>
      </c>
      <c r="CG41" s="2">
        <f t="shared" si="4"/>
        <v>379.16964116703338</v>
      </c>
      <c r="CH41" s="24">
        <f t="shared" si="5"/>
        <v>403.55176273460432</v>
      </c>
      <c r="CI41" s="2">
        <v>-0.27464901800000002</v>
      </c>
      <c r="CJ41" s="20">
        <f t="shared" si="6"/>
        <v>-0.3155687601486778</v>
      </c>
    </row>
    <row r="42" spans="1:88" x14ac:dyDescent="0.25">
      <c r="A42" s="5">
        <v>2.6102175590000001</v>
      </c>
      <c r="B42" s="6"/>
      <c r="C42" s="5">
        <v>-0.29183419939999999</v>
      </c>
      <c r="D42" s="5"/>
      <c r="E42" s="10">
        <f t="shared" si="0"/>
        <v>-0.3352393147377889</v>
      </c>
      <c r="F42" s="5"/>
      <c r="G42" s="21">
        <f t="shared" si="7"/>
        <v>379.16964116703338</v>
      </c>
      <c r="H42" s="2">
        <v>6.4589958789999999E-2</v>
      </c>
      <c r="I42" s="5">
        <v>68.056934130000002</v>
      </c>
      <c r="J42" s="5">
        <v>-18</v>
      </c>
      <c r="K42" s="4"/>
      <c r="AM42" s="2">
        <v>2.7780649679999998</v>
      </c>
      <c r="AN42" s="30"/>
      <c r="AO42" s="2">
        <v>-0.27464901800000002</v>
      </c>
      <c r="AP42" s="2"/>
      <c r="AQ42" s="20">
        <f t="shared" si="1"/>
        <v>-0.31549814510097013</v>
      </c>
      <c r="AR42" s="2"/>
      <c r="AS42" s="29">
        <f t="shared" si="8"/>
        <v>403.55176273460432</v>
      </c>
      <c r="AT42" s="26">
        <v>2.6611329390000001E-2</v>
      </c>
      <c r="AU42" s="2">
        <v>58.07324345</v>
      </c>
      <c r="AV42" s="2">
        <v>-15.371181959999999</v>
      </c>
      <c r="CE42" s="2">
        <f t="shared" si="2"/>
        <v>2.623642689</v>
      </c>
      <c r="CF42" s="19">
        <f t="shared" si="3"/>
        <v>2.7918916720000002</v>
      </c>
      <c r="CG42" s="2">
        <f t="shared" si="4"/>
        <v>381.11982409610346</v>
      </c>
      <c r="CH42" s="24">
        <f t="shared" si="5"/>
        <v>405.56027975500604</v>
      </c>
      <c r="CI42" s="2">
        <v>-0.25681473069999999</v>
      </c>
      <c r="CJ42" s="20">
        <f t="shared" si="6"/>
        <v>-0.29507735634764065</v>
      </c>
    </row>
    <row r="43" spans="1:88" x14ac:dyDescent="0.25">
      <c r="A43" s="5">
        <v>2.623642689</v>
      </c>
      <c r="B43" s="6"/>
      <c r="C43" s="5">
        <v>-0.27288399530000002</v>
      </c>
      <c r="D43" s="5"/>
      <c r="E43" s="10">
        <f t="shared" si="0"/>
        <v>-0.31347060685609968</v>
      </c>
      <c r="F43" s="5"/>
      <c r="G43" s="21">
        <f t="shared" si="7"/>
        <v>381.11982409610346</v>
      </c>
      <c r="H43" s="2">
        <v>6.4589958789999999E-2</v>
      </c>
      <c r="I43" s="5">
        <v>70.912696769999997</v>
      </c>
      <c r="J43" s="5">
        <v>-19</v>
      </c>
      <c r="K43" s="4"/>
      <c r="AM43" s="2">
        <v>2.7918916720000002</v>
      </c>
      <c r="AN43" s="30"/>
      <c r="AO43" s="2">
        <v>-0.25681473069999999</v>
      </c>
      <c r="AP43" s="2"/>
      <c r="AQ43" s="20">
        <f t="shared" si="1"/>
        <v>-0.29501132667605301</v>
      </c>
      <c r="AR43" s="2"/>
      <c r="AS43" s="29">
        <f t="shared" si="8"/>
        <v>405.56027975500604</v>
      </c>
      <c r="AT43" s="2">
        <v>2.6611329390000001E-2</v>
      </c>
      <c r="AU43" s="2">
        <v>60.49880314</v>
      </c>
      <c r="AV43" s="2">
        <v>-16.499769870000002</v>
      </c>
      <c r="CE43" s="2">
        <f t="shared" si="2"/>
        <v>2.6367495839999999</v>
      </c>
      <c r="CF43" s="19">
        <f t="shared" si="3"/>
        <v>2.805343487</v>
      </c>
      <c r="CG43" s="2">
        <f t="shared" si="4"/>
        <v>383.02377905833578</v>
      </c>
      <c r="CH43" s="24">
        <f t="shared" si="5"/>
        <v>407.51433904366905</v>
      </c>
      <c r="CI43" s="2">
        <v>-0.23739709519999999</v>
      </c>
      <c r="CJ43" s="20">
        <f t="shared" si="6"/>
        <v>-0.27276670253800661</v>
      </c>
    </row>
    <row r="44" spans="1:88" x14ac:dyDescent="0.25">
      <c r="A44" s="5">
        <v>2.6367495839999999</v>
      </c>
      <c r="B44" s="6"/>
      <c r="C44" s="5">
        <v>-0.25225137050000002</v>
      </c>
      <c r="D44" s="5"/>
      <c r="E44" s="10">
        <f t="shared" si="0"/>
        <v>-0.28976924829903294</v>
      </c>
      <c r="F44" s="5"/>
      <c r="G44" s="21">
        <f t="shared" si="7"/>
        <v>383.02377905833578</v>
      </c>
      <c r="H44" s="2">
        <v>6.4589958789999999E-2</v>
      </c>
      <c r="I44" s="5">
        <v>74.015523130000005</v>
      </c>
      <c r="J44" s="5">
        <v>-21</v>
      </c>
      <c r="K44" s="4"/>
      <c r="AM44" s="2">
        <v>2.805343487</v>
      </c>
      <c r="AN44" s="30"/>
      <c r="AO44" s="2">
        <v>-0.23739709519999999</v>
      </c>
      <c r="AP44" s="2"/>
      <c r="AQ44" s="20">
        <f t="shared" si="1"/>
        <v>-0.27270566533741769</v>
      </c>
      <c r="AR44" s="2"/>
      <c r="AS44" s="29">
        <f t="shared" si="8"/>
        <v>407.51433904366905</v>
      </c>
      <c r="AT44" s="2">
        <v>2.6611329390000001E-2</v>
      </c>
      <c r="AU44" s="2">
        <v>63.133762089999998</v>
      </c>
      <c r="AV44" s="2">
        <v>-17.773844319999998</v>
      </c>
      <c r="CE44" s="2">
        <f t="shared" si="2"/>
        <v>2.6493037780000002</v>
      </c>
      <c r="CF44" s="19">
        <f t="shared" si="3"/>
        <v>2.8181820879999999</v>
      </c>
      <c r="CG44" s="2">
        <f t="shared" si="4"/>
        <v>384.84744667474132</v>
      </c>
      <c r="CH44" s="24">
        <f t="shared" si="5"/>
        <v>409.37932064931022</v>
      </c>
      <c r="CI44" s="2">
        <v>-0.21651582759999999</v>
      </c>
      <c r="CJ44" s="20">
        <f t="shared" si="6"/>
        <v>-0.24877435122777999</v>
      </c>
    </row>
    <row r="45" spans="1:88" x14ac:dyDescent="0.25">
      <c r="A45" s="5">
        <v>2.6493037780000002</v>
      </c>
      <c r="B45" s="6"/>
      <c r="C45" s="5">
        <v>-0.23006353230000001</v>
      </c>
      <c r="D45" s="5"/>
      <c r="E45" s="10">
        <f t="shared" si="0"/>
        <v>-0.2642813661763288</v>
      </c>
      <c r="F45" s="5"/>
      <c r="G45" s="21">
        <f t="shared" si="7"/>
        <v>384.84744667474132</v>
      </c>
      <c r="H45" s="2">
        <v>6.4589958789999999E-2</v>
      </c>
      <c r="I45" s="5">
        <v>77.347654980000002</v>
      </c>
      <c r="J45" s="5">
        <v>-22</v>
      </c>
      <c r="K45" s="4"/>
      <c r="AM45" s="2">
        <v>2.8181820879999999</v>
      </c>
      <c r="AN45" s="30"/>
      <c r="AO45" s="2">
        <v>-0.21651582759999999</v>
      </c>
      <c r="AP45" s="2"/>
      <c r="AQ45" s="20">
        <f t="shared" si="1"/>
        <v>-0.24871868281284523</v>
      </c>
      <c r="AR45" s="2"/>
      <c r="AS45" s="29">
        <f t="shared" si="8"/>
        <v>409.37932064931022</v>
      </c>
      <c r="AT45" s="2">
        <v>2.6611329390000001E-2</v>
      </c>
      <c r="AU45" s="2">
        <v>65.962943390000007</v>
      </c>
      <c r="AV45" s="2">
        <v>-19.19745515</v>
      </c>
      <c r="CE45" s="2">
        <f t="shared" si="2"/>
        <v>2.6610793880000001</v>
      </c>
      <c r="CF45" s="19">
        <f t="shared" si="3"/>
        <v>2.8301818230000002</v>
      </c>
      <c r="CG45" s="2">
        <f t="shared" si="4"/>
        <v>386.55801436394705</v>
      </c>
      <c r="CH45" s="24">
        <f t="shared" si="5"/>
        <v>411.12244554645201</v>
      </c>
      <c r="CI45" s="2">
        <v>-0.19429966800000001</v>
      </c>
      <c r="CJ45" s="20">
        <f t="shared" si="6"/>
        <v>-0.2232482234036596</v>
      </c>
    </row>
    <row r="46" spans="1:88" x14ac:dyDescent="0.25">
      <c r="A46" s="5">
        <v>2.6610793880000001</v>
      </c>
      <c r="B46" s="6"/>
      <c r="C46" s="5">
        <v>-0.20645727580000001</v>
      </c>
      <c r="D46" s="5"/>
      <c r="E46" s="10">
        <f t="shared" si="0"/>
        <v>-0.23716410141142177</v>
      </c>
      <c r="F46" s="5"/>
      <c r="G46" s="21">
        <f t="shared" si="7"/>
        <v>386.55801436394705</v>
      </c>
      <c r="H46" s="2">
        <v>6.4589958789999999E-2</v>
      </c>
      <c r="I46" s="5">
        <v>80.889367059999998</v>
      </c>
      <c r="J46" s="5">
        <v>-24</v>
      </c>
      <c r="K46" s="4"/>
      <c r="AM46" s="2">
        <v>2.8301818230000002</v>
      </c>
      <c r="AN46" s="30"/>
      <c r="AO46" s="2">
        <v>-0.19429966800000001</v>
      </c>
      <c r="AP46" s="2"/>
      <c r="AQ46" s="20">
        <f t="shared" si="1"/>
        <v>-0.2231982669886492</v>
      </c>
      <c r="AR46" s="2"/>
      <c r="AS46" s="29">
        <f t="shared" si="8"/>
        <v>411.12244554645201</v>
      </c>
      <c r="AT46" s="2">
        <v>2.6611329390000001E-2</v>
      </c>
      <c r="AU46" s="2">
        <v>68.969519539999993</v>
      </c>
      <c r="AV46" s="2">
        <v>-20.77343217</v>
      </c>
      <c r="CE46" s="2">
        <f t="shared" si="2"/>
        <v>2.6718660669999998</v>
      </c>
      <c r="CF46" s="19">
        <f t="shared" si="3"/>
        <v>2.8411362709999999</v>
      </c>
      <c r="CG46" s="2">
        <f t="shared" si="4"/>
        <v>388.12492636011831</v>
      </c>
      <c r="CH46" s="24">
        <f t="shared" si="5"/>
        <v>412.71372827421595</v>
      </c>
      <c r="CI46" s="2">
        <v>-0.1708855863</v>
      </c>
      <c r="CJ46" s="20">
        <f t="shared" si="6"/>
        <v>-0.1963456960038025</v>
      </c>
    </row>
    <row r="47" spans="1:88" x14ac:dyDescent="0.25">
      <c r="A47" s="5">
        <v>2.6718660669999998</v>
      </c>
      <c r="B47" s="6"/>
      <c r="C47" s="5">
        <v>-0.18157814150000001</v>
      </c>
      <c r="D47" s="5"/>
      <c r="E47" s="10">
        <f t="shared" si="0"/>
        <v>-0.20858464104951391</v>
      </c>
      <c r="F47" s="5"/>
      <c r="G47" s="21">
        <f t="shared" si="7"/>
        <v>388.12492636011831</v>
      </c>
      <c r="H47" s="2">
        <v>6.4589958789999999E-2</v>
      </c>
      <c r="I47" s="5">
        <v>84.619062360000001</v>
      </c>
      <c r="J47" s="5">
        <v>-26</v>
      </c>
      <c r="K47" s="4"/>
      <c r="AM47" s="2">
        <v>2.8411362709999999</v>
      </c>
      <c r="AN47" s="30"/>
      <c r="AO47" s="2">
        <v>-0.1708855863</v>
      </c>
      <c r="AP47" s="2"/>
      <c r="AQ47" s="20">
        <f t="shared" si="1"/>
        <v>-0.19630175958663632</v>
      </c>
      <c r="AR47" s="2"/>
      <c r="AS47" s="29">
        <f t="shared" si="8"/>
        <v>412.71372827421595</v>
      </c>
      <c r="AT47" s="2">
        <v>2.6611329390000001E-2</v>
      </c>
      <c r="AU47" s="2">
        <v>72.135101820000003</v>
      </c>
      <c r="AV47" s="2">
        <v>-22.503074850000001</v>
      </c>
      <c r="CE47" s="2">
        <f t="shared" si="2"/>
        <v>2.6814740189999999</v>
      </c>
      <c r="CF47" s="19">
        <f t="shared" si="3"/>
        <v>2.850862512</v>
      </c>
      <c r="CG47" s="2">
        <f t="shared" si="4"/>
        <v>389.52061220999275</v>
      </c>
      <c r="CH47" s="24">
        <f t="shared" si="5"/>
        <v>414.12659721196343</v>
      </c>
      <c r="CI47" s="2">
        <v>-0.14641793810000001</v>
      </c>
      <c r="CJ47" s="20">
        <f t="shared" si="6"/>
        <v>-0.16823263205602595</v>
      </c>
    </row>
    <row r="48" spans="1:88" x14ac:dyDescent="0.25">
      <c r="A48" s="5">
        <v>2.6814740189999999</v>
      </c>
      <c r="B48" s="6"/>
      <c r="C48" s="5">
        <v>-0.1555795177</v>
      </c>
      <c r="D48" s="5"/>
      <c r="E48" s="10">
        <f t="shared" si="0"/>
        <v>-0.17871918715563567</v>
      </c>
      <c r="F48" s="5"/>
      <c r="G48" s="21">
        <f t="shared" si="7"/>
        <v>389.52061220999275</v>
      </c>
      <c r="H48" s="2">
        <v>6.4589958789999999E-2</v>
      </c>
      <c r="I48" s="5">
        <v>88.513408010000006</v>
      </c>
      <c r="J48" s="5">
        <v>-29</v>
      </c>
      <c r="K48" s="4"/>
      <c r="AM48" s="2">
        <v>2.850862512</v>
      </c>
      <c r="AN48" s="30"/>
      <c r="AO48" s="2">
        <v>-0.14641793810000001</v>
      </c>
      <c r="AP48" s="2"/>
      <c r="AQ48" s="20">
        <f t="shared" si="1"/>
        <v>-0.16819498651933523</v>
      </c>
      <c r="AR48" s="2"/>
      <c r="AS48" s="29">
        <f t="shared" si="8"/>
        <v>414.12659721196343</v>
      </c>
      <c r="AT48" s="2">
        <v>2.6611329390000001E-2</v>
      </c>
      <c r="AU48" s="2">
        <v>75.439862300000001</v>
      </c>
      <c r="AV48" s="2">
        <v>-24.385863220000001</v>
      </c>
      <c r="CE48" s="2">
        <f t="shared" si="2"/>
        <v>2.6897374300000001</v>
      </c>
      <c r="CF48" s="19">
        <f t="shared" si="3"/>
        <v>2.8592035880000002</v>
      </c>
      <c r="CG48" s="2">
        <f t="shared" si="4"/>
        <v>390.72098517234696</v>
      </c>
      <c r="CH48" s="24">
        <f t="shared" si="5"/>
        <v>415.33825207305426</v>
      </c>
      <c r="CI48" s="2">
        <v>-0.12104757469999999</v>
      </c>
      <c r="CJ48" s="20">
        <f t="shared" si="6"/>
        <v>-0.13908235807740429</v>
      </c>
    </row>
    <row r="49" spans="1:88" x14ac:dyDescent="0.25">
      <c r="A49" s="5">
        <v>2.6897374300000001</v>
      </c>
      <c r="B49" s="6"/>
      <c r="C49" s="5">
        <v>-0.12862169439999999</v>
      </c>
      <c r="D49" s="5"/>
      <c r="E49" s="10">
        <f t="shared" si="0"/>
        <v>-0.14775186999919959</v>
      </c>
      <c r="F49" s="5"/>
      <c r="G49" s="21">
        <f t="shared" si="7"/>
        <v>390.72098517234696</v>
      </c>
      <c r="H49" s="2">
        <v>6.4589958789999999E-2</v>
      </c>
      <c r="I49" s="5">
        <v>92.547509120000001</v>
      </c>
      <c r="J49" s="5">
        <v>-31</v>
      </c>
      <c r="K49" s="4"/>
      <c r="AM49" s="2">
        <v>2.8592035880000002</v>
      </c>
      <c r="AN49" s="30"/>
      <c r="AO49" s="2">
        <v>-0.12104757469999999</v>
      </c>
      <c r="AP49" s="2"/>
      <c r="AQ49" s="20">
        <f t="shared" si="1"/>
        <v>-0.13905123551842125</v>
      </c>
      <c r="AR49" s="2"/>
      <c r="AS49" s="29">
        <f t="shared" si="8"/>
        <v>415.33825207305426</v>
      </c>
      <c r="AT49" s="2">
        <v>2.6611329390000001E-2</v>
      </c>
      <c r="AU49" s="2">
        <v>78.862685380000002</v>
      </c>
      <c r="AV49" s="2">
        <v>-26.419199819999999</v>
      </c>
      <c r="CE49" s="2">
        <f t="shared" si="2"/>
        <v>2.6965166460000001</v>
      </c>
      <c r="CF49" s="19">
        <f t="shared" si="3"/>
        <v>2.866029556</v>
      </c>
      <c r="CG49" s="2">
        <f t="shared" si="4"/>
        <v>391.705758602152</v>
      </c>
      <c r="CH49" s="24">
        <f t="shared" si="5"/>
        <v>416.32981686743454</v>
      </c>
      <c r="CI49" s="2">
        <v>-9.4930912689999994E-2</v>
      </c>
      <c r="CJ49" s="20">
        <f t="shared" si="6"/>
        <v>-0.1090745950432114</v>
      </c>
    </row>
    <row r="50" spans="1:88" x14ac:dyDescent="0.25">
      <c r="A50" s="5">
        <v>2.6965166460000001</v>
      </c>
      <c r="B50" s="6"/>
      <c r="C50" s="5">
        <v>-0.1008708755</v>
      </c>
      <c r="D50" s="5"/>
      <c r="E50" s="10">
        <f t="shared" si="0"/>
        <v>-0.11587361333642522</v>
      </c>
      <c r="F50" s="5"/>
      <c r="G50" s="21">
        <f t="shared" si="7"/>
        <v>391.705758602152</v>
      </c>
      <c r="H50" s="2">
        <v>6.4589958789999999E-2</v>
      </c>
      <c r="I50" s="5">
        <v>96.695116290000001</v>
      </c>
      <c r="J50" s="5">
        <v>-33</v>
      </c>
      <c r="K50" s="4"/>
      <c r="AM50" s="2">
        <v>2.866029556</v>
      </c>
      <c r="AN50" s="30"/>
      <c r="AO50" s="2">
        <v>-9.4930912689999994E-2</v>
      </c>
      <c r="AP50" s="2"/>
      <c r="AQ50" s="20">
        <f t="shared" si="1"/>
        <v>-0.1090501873428768</v>
      </c>
      <c r="AR50" s="2"/>
      <c r="AS50" s="29">
        <f t="shared" si="8"/>
        <v>416.32981686743454</v>
      </c>
      <c r="AT50" s="2">
        <v>2.6611329390000001E-2</v>
      </c>
      <c r="AU50" s="2">
        <v>82.381344609999999</v>
      </c>
      <c r="AV50" s="2">
        <v>-28.5981922</v>
      </c>
      <c r="CE50" s="2">
        <f t="shared" si="2"/>
        <v>2.7016994009999999</v>
      </c>
      <c r="CF50" s="19">
        <f t="shared" si="3"/>
        <v>2.8712375749999999</v>
      </c>
      <c r="CG50" s="2">
        <f t="shared" si="4"/>
        <v>392.45862433429403</v>
      </c>
      <c r="CH50" s="24">
        <f t="shared" si="5"/>
        <v>417.08635253957124</v>
      </c>
      <c r="CI50" s="2">
        <v>-6.8228970060000005E-2</v>
      </c>
      <c r="CJ50" s="20">
        <f t="shared" si="6"/>
        <v>-7.8394350887704467E-2</v>
      </c>
    </row>
    <row r="51" spans="1:88" x14ac:dyDescent="0.25">
      <c r="A51" s="5">
        <v>2.7016994009999999</v>
      </c>
      <c r="B51" s="6"/>
      <c r="C51" s="5">
        <v>-7.2498154179999996E-2</v>
      </c>
      <c r="D51" s="5"/>
      <c r="E51" s="10">
        <f t="shared" si="0"/>
        <v>-8.3280957396447489E-2</v>
      </c>
      <c r="F51" s="5"/>
      <c r="G51" s="21">
        <f t="shared" si="7"/>
        <v>392.45862433429403</v>
      </c>
      <c r="H51" s="2">
        <v>6.4589958789999999E-2</v>
      </c>
      <c r="I51" s="5">
        <v>100.92886180000001</v>
      </c>
      <c r="J51" s="5">
        <v>-36</v>
      </c>
      <c r="K51" s="4"/>
      <c r="AM51" s="2">
        <v>2.8712375749999999</v>
      </c>
      <c r="AN51" s="30"/>
      <c r="AO51" s="2">
        <v>-6.8228970060000005E-2</v>
      </c>
      <c r="AP51" s="2"/>
      <c r="AQ51" s="20">
        <f t="shared" si="1"/>
        <v>-7.8376808527600955E-2</v>
      </c>
      <c r="AR51" s="2"/>
      <c r="AS51" s="29">
        <f t="shared" si="8"/>
        <v>417.08635253957124</v>
      </c>
      <c r="AT51" s="2">
        <v>2.6611329390000001E-2</v>
      </c>
      <c r="AU51" s="2">
        <v>85.972700619999998</v>
      </c>
      <c r="AV51" s="2">
        <v>-30.91548444</v>
      </c>
      <c r="CE51" s="2">
        <f t="shared" si="2"/>
        <v>2.7052013819999998</v>
      </c>
      <c r="CF51" s="19">
        <f t="shared" si="3"/>
        <v>2.8747514280000002</v>
      </c>
      <c r="CG51" s="2">
        <f t="shared" si="4"/>
        <v>392.96733475751734</v>
      </c>
      <c r="CH51" s="24">
        <f t="shared" si="5"/>
        <v>417.59678753244373</v>
      </c>
      <c r="CI51" s="2">
        <v>-4.1106373129999998E-2</v>
      </c>
      <c r="CJ51" s="20">
        <f t="shared" si="6"/>
        <v>-4.7230779477402035E-2</v>
      </c>
    </row>
    <row r="52" spans="1:88" x14ac:dyDescent="0.25">
      <c r="A52" s="5">
        <v>2.7052013819999998</v>
      </c>
      <c r="B52" s="6"/>
      <c r="C52" s="5">
        <v>-4.367845762E-2</v>
      </c>
      <c r="D52" s="5"/>
      <c r="E52" s="10">
        <f t="shared" si="0"/>
        <v>-5.0174846647299258E-2</v>
      </c>
      <c r="F52" s="5"/>
      <c r="G52" s="21">
        <f t="shared" si="7"/>
        <v>392.96733475751734</v>
      </c>
      <c r="H52" s="2">
        <v>6.4589958789999999E-2</v>
      </c>
      <c r="I52" s="5">
        <v>105.2205191</v>
      </c>
      <c r="J52" s="5">
        <v>-39</v>
      </c>
      <c r="K52" s="4"/>
      <c r="AM52" s="2">
        <v>2.8747514280000002</v>
      </c>
      <c r="AN52" s="30"/>
      <c r="AO52" s="2">
        <v>-4.1106373129999998E-2</v>
      </c>
      <c r="AP52" s="2"/>
      <c r="AQ52" s="20">
        <f t="shared" si="1"/>
        <v>-4.7220210612015943E-2</v>
      </c>
      <c r="AR52" s="2"/>
      <c r="AS52" s="29">
        <f t="shared" si="8"/>
        <v>417.59678753244373</v>
      </c>
      <c r="AT52" s="2">
        <v>2.6611329390000001E-2</v>
      </c>
      <c r="AU52" s="2">
        <v>89.612915380000004</v>
      </c>
      <c r="AV52" s="2">
        <v>-33.361144500000002</v>
      </c>
      <c r="CE52" s="2">
        <f t="shared" si="2"/>
        <v>2.7069664069999999</v>
      </c>
      <c r="CF52" s="19">
        <f t="shared" si="3"/>
        <v>2.876520835</v>
      </c>
      <c r="CG52" s="2">
        <f t="shared" si="4"/>
        <v>393.22372867134771</v>
      </c>
      <c r="CH52" s="24">
        <f t="shared" si="5"/>
        <v>417.85381799143937</v>
      </c>
      <c r="CI52" s="2">
        <v>-1.373034175E-2</v>
      </c>
      <c r="CJ52" s="20">
        <f t="shared" si="6"/>
        <v>-1.5776014616826799E-2</v>
      </c>
    </row>
    <row r="53" spans="1:88" x14ac:dyDescent="0.25">
      <c r="A53" s="5">
        <v>2.7069664069999999</v>
      </c>
      <c r="B53" s="6"/>
      <c r="C53" s="5">
        <v>-1.458946885E-2</v>
      </c>
      <c r="D53" s="5"/>
      <c r="E53" s="10">
        <f t="shared" si="0"/>
        <v>-1.6759391290390065E-2</v>
      </c>
      <c r="F53" s="5"/>
      <c r="G53" s="21">
        <f t="shared" si="7"/>
        <v>393.22372867134771</v>
      </c>
      <c r="H53" s="2">
        <v>6.4589958789999999E-2</v>
      </c>
      <c r="I53" s="5">
        <v>109.5412793</v>
      </c>
      <c r="J53" s="5">
        <v>-42</v>
      </c>
      <c r="K53" s="4"/>
      <c r="AM53" s="2">
        <v>2.876520835</v>
      </c>
      <c r="AN53" s="30"/>
      <c r="AO53" s="2">
        <v>-1.373034175E-2</v>
      </c>
      <c r="AP53" s="2"/>
      <c r="AQ53" s="20">
        <f t="shared" si="1"/>
        <v>-1.5772484406725268E-2</v>
      </c>
      <c r="AR53" s="2"/>
      <c r="AS53" s="29">
        <f t="shared" si="8"/>
        <v>417.85381799143937</v>
      </c>
      <c r="AT53" s="2">
        <v>2.6611329390000001E-2</v>
      </c>
      <c r="AU53" s="2">
        <v>93.277678559999998</v>
      </c>
      <c r="AV53" s="2">
        <v>-35.922613300000002</v>
      </c>
      <c r="CE53" s="40">
        <f t="shared" si="2"/>
        <v>2.7069664069999999</v>
      </c>
      <c r="CF53" s="51">
        <f t="shared" si="3"/>
        <v>2.876520835</v>
      </c>
      <c r="CG53" s="40">
        <f t="shared" si="4"/>
        <v>393.22372867134771</v>
      </c>
      <c r="CH53" s="50">
        <f t="shared" si="5"/>
        <v>417.85381799143937</v>
      </c>
      <c r="CI53" s="40">
        <v>1.373034175E-2</v>
      </c>
      <c r="CJ53" s="48">
        <f t="shared" si="6"/>
        <v>1.5776014616826799E-2</v>
      </c>
    </row>
    <row r="54" spans="1:88" x14ac:dyDescent="0.25">
      <c r="A54" s="34">
        <v>2.7069664069999999</v>
      </c>
      <c r="B54" s="43"/>
      <c r="C54" s="34">
        <v>1.458946885E-2</v>
      </c>
      <c r="D54" s="34"/>
      <c r="E54" s="35">
        <f t="shared" si="0"/>
        <v>1.6759391290390065E-2</v>
      </c>
      <c r="F54" s="34"/>
      <c r="G54" s="44">
        <f t="shared" si="7"/>
        <v>393.22372867134771</v>
      </c>
      <c r="H54" s="40">
        <v>6.4589958789999999E-2</v>
      </c>
      <c r="I54" s="34">
        <v>-109.5412793</v>
      </c>
      <c r="J54" s="34">
        <v>-42</v>
      </c>
      <c r="K54" s="4"/>
      <c r="AM54" s="40">
        <v>2.876520835</v>
      </c>
      <c r="AN54" s="47"/>
      <c r="AO54" s="40">
        <v>1.373034175E-2</v>
      </c>
      <c r="AP54" s="40"/>
      <c r="AQ54" s="48">
        <f t="shared" si="1"/>
        <v>1.5772484406725268E-2</v>
      </c>
      <c r="AR54" s="40"/>
      <c r="AS54" s="49">
        <f t="shared" si="8"/>
        <v>417.85381799143937</v>
      </c>
      <c r="AT54" s="40">
        <v>2.6611329390000001E-2</v>
      </c>
      <c r="AU54" s="40">
        <v>-93.277678559999998</v>
      </c>
      <c r="AV54" s="40">
        <v>-35.922613300000002</v>
      </c>
      <c r="CE54" s="2">
        <f t="shared" si="2"/>
        <v>2.7052013819999998</v>
      </c>
      <c r="CF54" s="19">
        <f t="shared" si="3"/>
        <v>2.8747514280000002</v>
      </c>
      <c r="CG54" s="2">
        <f t="shared" si="4"/>
        <v>392.96733475751734</v>
      </c>
      <c r="CH54" s="24">
        <f t="shared" si="5"/>
        <v>417.59678753244373</v>
      </c>
      <c r="CI54" s="2">
        <v>4.1106373129999998E-2</v>
      </c>
      <c r="CJ54" s="20">
        <f t="shared" si="6"/>
        <v>4.7230779477402035E-2</v>
      </c>
    </row>
    <row r="55" spans="1:88" x14ac:dyDescent="0.25">
      <c r="A55" s="5">
        <v>2.7052013819999998</v>
      </c>
      <c r="B55" s="6"/>
      <c r="C55" s="5">
        <v>4.367845762E-2</v>
      </c>
      <c r="D55" s="5"/>
      <c r="E55" s="10">
        <f t="shared" si="0"/>
        <v>5.0174846647299258E-2</v>
      </c>
      <c r="F55" s="5"/>
      <c r="G55" s="21">
        <f t="shared" si="7"/>
        <v>392.96733475751734</v>
      </c>
      <c r="H55" s="2">
        <v>6.4589958789999999E-2</v>
      </c>
      <c r="I55" s="5">
        <v>-105.2205191</v>
      </c>
      <c r="J55" s="5">
        <v>-39</v>
      </c>
      <c r="K55" s="4"/>
      <c r="AM55" s="2">
        <v>2.8747514280000002</v>
      </c>
      <c r="AN55" s="30"/>
      <c r="AO55" s="2">
        <v>4.1106373129999998E-2</v>
      </c>
      <c r="AP55" s="2"/>
      <c r="AQ55" s="20">
        <f t="shared" si="1"/>
        <v>4.7220210612015943E-2</v>
      </c>
      <c r="AR55" s="2"/>
      <c r="AS55" s="29">
        <f t="shared" si="8"/>
        <v>417.59678753244373</v>
      </c>
      <c r="AT55" s="2">
        <v>2.6611329390000001E-2</v>
      </c>
      <c r="AU55" s="2">
        <v>-89.612915380000004</v>
      </c>
      <c r="AV55" s="2">
        <v>-33.361144500000002</v>
      </c>
      <c r="CE55" s="2">
        <f t="shared" si="2"/>
        <v>2.7016994009999999</v>
      </c>
      <c r="CF55" s="19">
        <f t="shared" si="3"/>
        <v>2.8712375749999999</v>
      </c>
      <c r="CG55" s="2">
        <f t="shared" si="4"/>
        <v>392.45862433429403</v>
      </c>
      <c r="CH55" s="24">
        <f t="shared" si="5"/>
        <v>417.08635253957124</v>
      </c>
      <c r="CI55" s="2">
        <v>6.8228970060000005E-2</v>
      </c>
      <c r="CJ55" s="20">
        <f t="shared" si="6"/>
        <v>7.8394350887704467E-2</v>
      </c>
    </row>
    <row r="56" spans="1:88" x14ac:dyDescent="0.25">
      <c r="A56" s="5">
        <v>2.7016994009999999</v>
      </c>
      <c r="B56" s="6"/>
      <c r="C56" s="5">
        <v>7.2498154179999996E-2</v>
      </c>
      <c r="D56" s="5"/>
      <c r="E56" s="10">
        <f t="shared" si="0"/>
        <v>8.3280957396447489E-2</v>
      </c>
      <c r="F56" s="5"/>
      <c r="G56" s="21">
        <f t="shared" si="7"/>
        <v>392.45862433429403</v>
      </c>
      <c r="H56" s="2">
        <v>6.4589958789999999E-2</v>
      </c>
      <c r="I56" s="5">
        <v>-100.92886180000001</v>
      </c>
      <c r="J56" s="5">
        <v>-36</v>
      </c>
      <c r="K56" s="4"/>
      <c r="AM56" s="2">
        <v>2.8712375749999999</v>
      </c>
      <c r="AN56" s="30"/>
      <c r="AO56" s="2">
        <v>6.8228970060000005E-2</v>
      </c>
      <c r="AP56" s="2"/>
      <c r="AQ56" s="20">
        <f t="shared" si="1"/>
        <v>7.8376808527600955E-2</v>
      </c>
      <c r="AR56" s="2"/>
      <c r="AS56" s="29">
        <f t="shared" si="8"/>
        <v>417.08635253957124</v>
      </c>
      <c r="AT56" s="2">
        <v>2.6611329390000001E-2</v>
      </c>
      <c r="AU56" s="2">
        <v>-85.972700619999998</v>
      </c>
      <c r="AV56" s="2">
        <v>-30.91548444</v>
      </c>
      <c r="CE56" s="2">
        <f t="shared" si="2"/>
        <v>2.6965166460000001</v>
      </c>
      <c r="CF56" s="19">
        <f t="shared" si="3"/>
        <v>2.866029556</v>
      </c>
      <c r="CG56" s="2">
        <f t="shared" si="4"/>
        <v>391.705758602152</v>
      </c>
      <c r="CH56" s="24">
        <f t="shared" si="5"/>
        <v>416.32981686743454</v>
      </c>
      <c r="CI56" s="2">
        <v>9.4930912689999994E-2</v>
      </c>
      <c r="CJ56" s="20">
        <f t="shared" si="6"/>
        <v>0.1090745950432114</v>
      </c>
    </row>
    <row r="57" spans="1:88" x14ac:dyDescent="0.25">
      <c r="A57" s="5">
        <v>2.6965166460000001</v>
      </c>
      <c r="B57" s="6"/>
      <c r="C57" s="5">
        <v>0.1008708755</v>
      </c>
      <c r="D57" s="5"/>
      <c r="E57" s="10">
        <f t="shared" si="0"/>
        <v>0.11587361333642522</v>
      </c>
      <c r="F57" s="5"/>
      <c r="G57" s="21">
        <f t="shared" si="7"/>
        <v>391.705758602152</v>
      </c>
      <c r="H57" s="2">
        <v>6.4589958789999999E-2</v>
      </c>
      <c r="I57" s="5">
        <v>-96.695116290000001</v>
      </c>
      <c r="J57" s="5">
        <v>-33</v>
      </c>
      <c r="K57" s="4"/>
      <c r="AM57" s="2">
        <v>2.866029556</v>
      </c>
      <c r="AN57" s="30"/>
      <c r="AO57" s="2">
        <v>9.4930912689999994E-2</v>
      </c>
      <c r="AP57" s="2"/>
      <c r="AQ57" s="20">
        <f t="shared" si="1"/>
        <v>0.1090501873428768</v>
      </c>
      <c r="AR57" s="2"/>
      <c r="AS57" s="29">
        <f t="shared" si="8"/>
        <v>416.32981686743454</v>
      </c>
      <c r="AT57" s="2">
        <v>2.6611329390000001E-2</v>
      </c>
      <c r="AU57" s="2">
        <v>-82.381344609999999</v>
      </c>
      <c r="AV57" s="2">
        <v>-28.5981922</v>
      </c>
      <c r="CE57" s="2">
        <f t="shared" si="2"/>
        <v>2.6897374300000001</v>
      </c>
      <c r="CF57" s="19">
        <f t="shared" si="3"/>
        <v>2.8592035880000002</v>
      </c>
      <c r="CG57" s="2">
        <f t="shared" si="4"/>
        <v>390.72098517234696</v>
      </c>
      <c r="CH57" s="24">
        <f t="shared" si="5"/>
        <v>415.33825207305426</v>
      </c>
      <c r="CI57" s="2">
        <v>0.12104757469999999</v>
      </c>
      <c r="CJ57" s="20">
        <f t="shared" si="6"/>
        <v>0.13908235807740429</v>
      </c>
    </row>
    <row r="58" spans="1:88" x14ac:dyDescent="0.25">
      <c r="A58" s="5">
        <v>2.6897374300000001</v>
      </c>
      <c r="B58" s="6"/>
      <c r="C58" s="5">
        <v>0.12862169439999999</v>
      </c>
      <c r="D58" s="5"/>
      <c r="E58" s="10">
        <f t="shared" si="0"/>
        <v>0.14775186999919959</v>
      </c>
      <c r="F58" s="5"/>
      <c r="G58" s="21">
        <f t="shared" si="7"/>
        <v>390.72098517234696</v>
      </c>
      <c r="H58" s="2">
        <v>6.4589958789999999E-2</v>
      </c>
      <c r="I58" s="5">
        <v>-92.547509120000001</v>
      </c>
      <c r="J58" s="5">
        <v>-31</v>
      </c>
      <c r="K58" s="4"/>
      <c r="AM58" s="2">
        <v>2.8592035880000002</v>
      </c>
      <c r="AN58" s="30"/>
      <c r="AO58" s="2">
        <v>0.12104757469999999</v>
      </c>
      <c r="AP58" s="2"/>
      <c r="AQ58" s="20">
        <f t="shared" si="1"/>
        <v>0.13905123551842125</v>
      </c>
      <c r="AR58" s="2"/>
      <c r="AS58" s="29">
        <f t="shared" si="8"/>
        <v>415.33825207305426</v>
      </c>
      <c r="AT58" s="2">
        <v>2.6611329390000001E-2</v>
      </c>
      <c r="AU58" s="2">
        <v>-78.862685380000002</v>
      </c>
      <c r="AV58" s="2">
        <v>-26.419199819999999</v>
      </c>
      <c r="CE58" s="2">
        <f t="shared" si="2"/>
        <v>2.6814740189999999</v>
      </c>
      <c r="CF58" s="19">
        <f t="shared" si="3"/>
        <v>2.850862512</v>
      </c>
      <c r="CG58" s="2">
        <f t="shared" si="4"/>
        <v>389.52061220999275</v>
      </c>
      <c r="CH58" s="24">
        <f t="shared" si="5"/>
        <v>414.12659721196343</v>
      </c>
      <c r="CI58" s="2">
        <v>0.14641793810000001</v>
      </c>
      <c r="CJ58" s="20">
        <f t="shared" si="6"/>
        <v>0.16823263205602595</v>
      </c>
    </row>
    <row r="59" spans="1:88" x14ac:dyDescent="0.25">
      <c r="A59" s="5">
        <v>2.6814740189999999</v>
      </c>
      <c r="B59" s="6"/>
      <c r="C59" s="5">
        <v>0.1555795177</v>
      </c>
      <c r="D59" s="5"/>
      <c r="E59" s="10">
        <f t="shared" si="0"/>
        <v>0.17871918715563567</v>
      </c>
      <c r="F59" s="5"/>
      <c r="G59" s="21">
        <f t="shared" si="7"/>
        <v>389.52061220999275</v>
      </c>
      <c r="H59" s="2">
        <v>6.4589958789999999E-2</v>
      </c>
      <c r="I59" s="5">
        <v>-88.513408010000006</v>
      </c>
      <c r="J59" s="5">
        <v>-29</v>
      </c>
      <c r="K59" s="4"/>
      <c r="AM59" s="2">
        <v>2.850862512</v>
      </c>
      <c r="AN59" s="30"/>
      <c r="AO59" s="2">
        <v>0.14641793810000001</v>
      </c>
      <c r="AP59" s="2"/>
      <c r="AQ59" s="20">
        <f t="shared" si="1"/>
        <v>0.16819498651933523</v>
      </c>
      <c r="AR59" s="2"/>
      <c r="AS59" s="29">
        <f t="shared" si="8"/>
        <v>414.12659721196343</v>
      </c>
      <c r="AT59" s="2">
        <v>2.6611329390000001E-2</v>
      </c>
      <c r="AU59" s="2">
        <v>-75.439862300000001</v>
      </c>
      <c r="AV59" s="2">
        <v>-24.385863220000001</v>
      </c>
      <c r="CE59" s="2">
        <f t="shared" si="2"/>
        <v>2.6718660669999998</v>
      </c>
      <c r="CF59" s="19">
        <f t="shared" si="3"/>
        <v>2.8411362709999999</v>
      </c>
      <c r="CG59" s="2">
        <f t="shared" si="4"/>
        <v>388.12492636011831</v>
      </c>
      <c r="CH59" s="24">
        <f t="shared" si="5"/>
        <v>412.71372827421595</v>
      </c>
      <c r="CI59" s="2">
        <v>0.1708855863</v>
      </c>
      <c r="CJ59" s="20">
        <f t="shared" si="6"/>
        <v>0.1963456960038025</v>
      </c>
    </row>
    <row r="60" spans="1:88" x14ac:dyDescent="0.25">
      <c r="A60" s="5">
        <v>2.6718660669999998</v>
      </c>
      <c r="B60" s="6"/>
      <c r="C60" s="5">
        <v>0.18157814150000001</v>
      </c>
      <c r="D60" s="5"/>
      <c r="E60" s="10">
        <f t="shared" si="0"/>
        <v>0.20858464104951391</v>
      </c>
      <c r="F60" s="5"/>
      <c r="G60" s="21">
        <f t="shared" si="7"/>
        <v>388.12492636011831</v>
      </c>
      <c r="H60" s="23">
        <v>6.4589958789999999E-2</v>
      </c>
      <c r="I60" s="5">
        <v>-84.619062360000001</v>
      </c>
      <c r="J60" s="5">
        <v>-26</v>
      </c>
      <c r="K60" s="4"/>
      <c r="AM60" s="2">
        <v>2.8411362709999999</v>
      </c>
      <c r="AN60" s="30"/>
      <c r="AO60" s="2">
        <v>0.1708855863</v>
      </c>
      <c r="AP60" s="2"/>
      <c r="AQ60" s="20">
        <f t="shared" si="1"/>
        <v>0.19630175958663632</v>
      </c>
      <c r="AR60" s="2"/>
      <c r="AS60" s="29">
        <f t="shared" si="8"/>
        <v>412.71372827421595</v>
      </c>
      <c r="AT60" s="2">
        <v>2.6611329390000001E-2</v>
      </c>
      <c r="AU60" s="2">
        <v>-72.135101820000003</v>
      </c>
      <c r="AV60" s="2">
        <v>-22.503074850000001</v>
      </c>
      <c r="CE60" s="2">
        <f t="shared" si="2"/>
        <v>2.6610793880000001</v>
      </c>
      <c r="CF60" s="19">
        <f t="shared" si="3"/>
        <v>2.8301818230000002</v>
      </c>
      <c r="CG60" s="2">
        <f t="shared" si="4"/>
        <v>386.55801436394705</v>
      </c>
      <c r="CH60" s="24">
        <f t="shared" si="5"/>
        <v>411.12244554645201</v>
      </c>
      <c r="CI60" s="2">
        <v>0.19429966800000001</v>
      </c>
      <c r="CJ60" s="20">
        <f t="shared" si="6"/>
        <v>0.2232482234036596</v>
      </c>
    </row>
    <row r="61" spans="1:88" x14ac:dyDescent="0.25">
      <c r="A61" s="5">
        <v>2.6610793880000001</v>
      </c>
      <c r="B61" s="6"/>
      <c r="C61" s="5">
        <v>0.20645727580000001</v>
      </c>
      <c r="D61" s="5"/>
      <c r="E61" s="10">
        <f t="shared" si="0"/>
        <v>0.23716410141142177</v>
      </c>
      <c r="F61" s="5"/>
      <c r="G61" s="21">
        <f t="shared" si="7"/>
        <v>386.55801436394705</v>
      </c>
      <c r="H61" s="2">
        <v>6.4589958789999999E-2</v>
      </c>
      <c r="I61" s="5">
        <v>-80.889367059999998</v>
      </c>
      <c r="J61" s="5">
        <v>-24</v>
      </c>
      <c r="K61" s="4"/>
      <c r="AM61" s="2">
        <v>2.8301818230000002</v>
      </c>
      <c r="AN61" s="30"/>
      <c r="AO61" s="2">
        <v>0.19429966800000001</v>
      </c>
      <c r="AP61" s="2"/>
      <c r="AQ61" s="20">
        <f t="shared" si="1"/>
        <v>0.2231982669886492</v>
      </c>
      <c r="AR61" s="2"/>
      <c r="AS61" s="29">
        <f t="shared" si="8"/>
        <v>411.12244554645201</v>
      </c>
      <c r="AT61" s="2">
        <v>2.6611329390000001E-2</v>
      </c>
      <c r="AU61" s="2">
        <v>-68.969519539999993</v>
      </c>
      <c r="AV61" s="2">
        <v>-20.77343217</v>
      </c>
      <c r="CE61" s="2">
        <f t="shared" si="2"/>
        <v>2.6493037780000002</v>
      </c>
      <c r="CF61" s="19">
        <f t="shared" si="3"/>
        <v>2.8181820879999999</v>
      </c>
      <c r="CG61" s="2">
        <f t="shared" si="4"/>
        <v>384.84744667474132</v>
      </c>
      <c r="CH61" s="24">
        <f t="shared" si="5"/>
        <v>409.37932064931022</v>
      </c>
      <c r="CI61" s="2">
        <v>0.21651582759999999</v>
      </c>
      <c r="CJ61" s="20">
        <f t="shared" si="6"/>
        <v>0.24877435122777999</v>
      </c>
    </row>
    <row r="62" spans="1:88" x14ac:dyDescent="0.25">
      <c r="A62" s="5">
        <v>2.6493037780000002</v>
      </c>
      <c r="B62" s="6"/>
      <c r="C62" s="5">
        <v>0.23006353230000001</v>
      </c>
      <c r="D62" s="5"/>
      <c r="E62" s="10">
        <f t="shared" si="0"/>
        <v>0.2642813661763288</v>
      </c>
      <c r="F62" s="5"/>
      <c r="G62" s="21">
        <f t="shared" si="7"/>
        <v>384.84744667474132</v>
      </c>
      <c r="H62" s="2">
        <v>6.4589958789999999E-2</v>
      </c>
      <c r="I62" s="5">
        <v>-77.347654980000002</v>
      </c>
      <c r="J62" s="5">
        <v>-22</v>
      </c>
      <c r="K62" s="4"/>
      <c r="AM62" s="2">
        <v>2.8181820879999999</v>
      </c>
      <c r="AN62" s="30"/>
      <c r="AO62" s="2">
        <v>0.21651582759999999</v>
      </c>
      <c r="AP62" s="2"/>
      <c r="AQ62" s="20">
        <f t="shared" si="1"/>
        <v>0.24871868281284523</v>
      </c>
      <c r="AR62" s="2"/>
      <c r="AS62" s="29">
        <f t="shared" si="8"/>
        <v>409.37932064931022</v>
      </c>
      <c r="AT62" s="2">
        <v>2.6611329390000001E-2</v>
      </c>
      <c r="AU62" s="2">
        <v>-65.962943390000007</v>
      </c>
      <c r="AV62" s="2">
        <v>-19.19745515</v>
      </c>
      <c r="CE62" s="2">
        <f t="shared" si="2"/>
        <v>2.6367495839999999</v>
      </c>
      <c r="CF62" s="19">
        <f t="shared" si="3"/>
        <v>2.805343487</v>
      </c>
      <c r="CG62" s="2">
        <f t="shared" si="4"/>
        <v>383.02377905833578</v>
      </c>
      <c r="CH62" s="24">
        <f t="shared" si="5"/>
        <v>407.51433904366905</v>
      </c>
      <c r="CI62" s="2">
        <v>0.23739709519999999</v>
      </c>
      <c r="CJ62" s="20">
        <f t="shared" si="6"/>
        <v>0.27276670253800661</v>
      </c>
    </row>
    <row r="63" spans="1:88" x14ac:dyDescent="0.25">
      <c r="A63" s="5">
        <v>2.6367495839999999</v>
      </c>
      <c r="B63" s="6"/>
      <c r="C63" s="5">
        <v>0.25225137050000002</v>
      </c>
      <c r="D63" s="5"/>
      <c r="E63" s="10">
        <f t="shared" si="0"/>
        <v>0.28976924829903294</v>
      </c>
      <c r="F63" s="5"/>
      <c r="G63" s="21">
        <f t="shared" si="7"/>
        <v>383.02377905833578</v>
      </c>
      <c r="H63" s="2">
        <v>6.4589958789999999E-2</v>
      </c>
      <c r="I63" s="5">
        <v>-74.015523130000005</v>
      </c>
      <c r="J63" s="5">
        <v>-21</v>
      </c>
      <c r="K63" s="4"/>
      <c r="AM63" s="2">
        <v>2.805343487</v>
      </c>
      <c r="AN63" s="30"/>
      <c r="AO63" s="2">
        <v>0.23739709519999999</v>
      </c>
      <c r="AP63" s="2"/>
      <c r="AQ63" s="20">
        <f t="shared" si="1"/>
        <v>0.27270566533741769</v>
      </c>
      <c r="AR63" s="2"/>
      <c r="AS63" s="29">
        <f t="shared" si="8"/>
        <v>407.51433904366905</v>
      </c>
      <c r="AT63" s="2">
        <v>2.6611329390000001E-2</v>
      </c>
      <c r="AU63" s="2">
        <v>-63.133762089999998</v>
      </c>
      <c r="AV63" s="2">
        <v>-17.773844319999998</v>
      </c>
      <c r="CE63" s="2">
        <f t="shared" si="2"/>
        <v>2.623642689</v>
      </c>
      <c r="CF63" s="19">
        <f t="shared" si="3"/>
        <v>2.7918916720000002</v>
      </c>
      <c r="CG63" s="2">
        <f t="shared" si="4"/>
        <v>381.11982409610346</v>
      </c>
      <c r="CH63" s="24">
        <f t="shared" si="5"/>
        <v>405.56027975500604</v>
      </c>
      <c r="CI63" s="2">
        <v>0.25681473069999999</v>
      </c>
      <c r="CJ63" s="20">
        <f t="shared" si="6"/>
        <v>0.29507735634764065</v>
      </c>
    </row>
    <row r="64" spans="1:88" x14ac:dyDescent="0.25">
      <c r="A64" s="5">
        <v>2.623642689</v>
      </c>
      <c r="B64" s="6"/>
      <c r="C64" s="5">
        <v>0.27288399530000002</v>
      </c>
      <c r="D64" s="5"/>
      <c r="E64" s="10">
        <f t="shared" si="0"/>
        <v>0.31347060685609968</v>
      </c>
      <c r="F64" s="5"/>
      <c r="G64" s="21">
        <f t="shared" si="7"/>
        <v>381.11982409610346</v>
      </c>
      <c r="H64" s="2">
        <v>6.4589958789999999E-2</v>
      </c>
      <c r="I64" s="5">
        <v>-70.912696769999997</v>
      </c>
      <c r="J64" s="5">
        <v>-19</v>
      </c>
      <c r="K64" s="4"/>
      <c r="AM64" s="2">
        <v>2.7918916720000002</v>
      </c>
      <c r="AN64" s="30"/>
      <c r="AO64" s="2">
        <v>0.25681473069999999</v>
      </c>
      <c r="AP64" s="2"/>
      <c r="AQ64" s="20">
        <f t="shared" si="1"/>
        <v>0.29501132667605301</v>
      </c>
      <c r="AR64" s="2"/>
      <c r="AS64" s="29">
        <f t="shared" si="8"/>
        <v>405.56027975500604</v>
      </c>
      <c r="AT64" s="2">
        <v>2.6611329390000001E-2</v>
      </c>
      <c r="AU64" s="2">
        <v>-60.49880314</v>
      </c>
      <c r="AV64" s="2">
        <v>-16.499769870000002</v>
      </c>
      <c r="CE64" s="2">
        <f t="shared" si="2"/>
        <v>2.6102175590000001</v>
      </c>
      <c r="CF64" s="19">
        <f t="shared" si="3"/>
        <v>2.7780649679999998</v>
      </c>
      <c r="CG64" s="2">
        <f t="shared" si="4"/>
        <v>379.16964116703338</v>
      </c>
      <c r="CH64" s="24">
        <f t="shared" si="5"/>
        <v>403.55176273460432</v>
      </c>
      <c r="CI64" s="2">
        <v>0.27464901800000002</v>
      </c>
      <c r="CJ64" s="20">
        <f t="shared" si="6"/>
        <v>0.3155687601486778</v>
      </c>
    </row>
    <row r="65" spans="1:88" x14ac:dyDescent="0.25">
      <c r="A65" s="5">
        <v>2.6102175590000001</v>
      </c>
      <c r="B65" s="6"/>
      <c r="C65" s="5">
        <v>0.29183419939999999</v>
      </c>
      <c r="D65" s="5"/>
      <c r="E65" s="10">
        <f t="shared" si="0"/>
        <v>0.3352393147377889</v>
      </c>
      <c r="F65" s="5"/>
      <c r="G65" s="21">
        <f t="shared" si="7"/>
        <v>379.16964116703338</v>
      </c>
      <c r="H65" s="2">
        <v>6.4589958789999999E-2</v>
      </c>
      <c r="I65" s="5">
        <v>-68.056934130000002</v>
      </c>
      <c r="J65" s="5">
        <v>-18</v>
      </c>
      <c r="K65" s="4"/>
      <c r="AM65" s="2">
        <v>2.7780649679999998</v>
      </c>
      <c r="AN65" s="30"/>
      <c r="AO65" s="2">
        <v>0.27464901800000002</v>
      </c>
      <c r="AP65" s="2"/>
      <c r="AQ65" s="20">
        <f t="shared" si="1"/>
        <v>0.31549814510097013</v>
      </c>
      <c r="AR65" s="2"/>
      <c r="AS65" s="29">
        <f t="shared" si="8"/>
        <v>403.55176273460432</v>
      </c>
      <c r="AT65" s="2">
        <v>2.6611329390000001E-2</v>
      </c>
      <c r="AU65" s="2">
        <v>-58.07324345</v>
      </c>
      <c r="AV65" s="2">
        <v>-15.371181959999999</v>
      </c>
      <c r="CE65" s="2">
        <f t="shared" si="2"/>
        <v>2.5967078749999999</v>
      </c>
      <c r="CF65" s="19">
        <f t="shared" si="3"/>
        <v>2.7641050329999999</v>
      </c>
      <c r="CG65" s="2">
        <f t="shared" si="4"/>
        <v>377.207175618176</v>
      </c>
      <c r="CH65" s="24">
        <f t="shared" si="5"/>
        <v>401.52389209737936</v>
      </c>
      <c r="CI65" s="2">
        <v>0.2907900028</v>
      </c>
      <c r="CJ65" s="20">
        <f t="shared" si="6"/>
        <v>0.33411457763605235</v>
      </c>
    </row>
    <row r="66" spans="1:88" x14ac:dyDescent="0.25">
      <c r="A66" s="5">
        <v>2.5967078749999999</v>
      </c>
      <c r="B66" s="6"/>
      <c r="C66" s="5">
        <v>0.30898514869999999</v>
      </c>
      <c r="D66" s="5"/>
      <c r="E66" s="10">
        <f t="shared" si="0"/>
        <v>0.35494116086225153</v>
      </c>
      <c r="F66" s="5"/>
      <c r="G66" s="21">
        <f t="shared" si="7"/>
        <v>377.207175618176</v>
      </c>
      <c r="H66" s="2">
        <v>6.4589958789999999E-2</v>
      </c>
      <c r="I66" s="5">
        <v>-65.463972949999999</v>
      </c>
      <c r="J66" s="5">
        <v>-17</v>
      </c>
      <c r="K66" s="4"/>
      <c r="AM66" s="2">
        <v>2.7641050329999999</v>
      </c>
      <c r="AN66" s="30"/>
      <c r="AO66" s="2">
        <v>0.2907900028</v>
      </c>
      <c r="AP66" s="2"/>
      <c r="AQ66" s="20">
        <f t="shared" si="1"/>
        <v>0.33403981257746895</v>
      </c>
      <c r="AR66" s="2"/>
      <c r="AS66" s="29">
        <f t="shared" si="8"/>
        <v>401.52389209737936</v>
      </c>
      <c r="AT66" s="2">
        <v>2.6611329390000001E-2</v>
      </c>
      <c r="AU66" s="2">
        <v>-55.870554470000002</v>
      </c>
      <c r="AV66" s="2">
        <v>-14.38313192</v>
      </c>
      <c r="CE66" s="2">
        <f t="shared" si="2"/>
        <v>2.5833341619999999</v>
      </c>
      <c r="CF66" s="19">
        <f t="shared" si="3"/>
        <v>2.7502439660000002</v>
      </c>
      <c r="CG66" s="2">
        <f t="shared" si="4"/>
        <v>375.2644617084498</v>
      </c>
      <c r="CH66" s="24">
        <f t="shared" si="5"/>
        <v>399.51038338334115</v>
      </c>
      <c r="CI66" s="2">
        <v>0.30513817050000003</v>
      </c>
      <c r="CJ66" s="20">
        <f t="shared" si="6"/>
        <v>0.3506004676074278</v>
      </c>
    </row>
    <row r="67" spans="1:88" x14ac:dyDescent="0.25">
      <c r="A67" s="5">
        <v>2.5833341619999999</v>
      </c>
      <c r="B67" s="6"/>
      <c r="C67" s="5">
        <v>0.32423110170000002</v>
      </c>
      <c r="D67" s="5"/>
      <c r="E67" s="10">
        <f t="shared" si="0"/>
        <v>0.37245467657340758</v>
      </c>
      <c r="F67" s="5"/>
      <c r="G67" s="21">
        <f t="shared" si="7"/>
        <v>375.2644617084498</v>
      </c>
      <c r="H67" s="2">
        <v>6.4589958789999999E-2</v>
      </c>
      <c r="I67" s="5">
        <v>-63.147517569999998</v>
      </c>
      <c r="J67" s="5">
        <v>-16</v>
      </c>
      <c r="K67" s="4"/>
      <c r="AM67" s="2">
        <v>2.7502439660000002</v>
      </c>
      <c r="AN67" s="30"/>
      <c r="AO67" s="2">
        <v>0.30513817050000003</v>
      </c>
      <c r="AP67" s="2"/>
      <c r="AQ67" s="20">
        <f t="shared" si="1"/>
        <v>0.35052201348942585</v>
      </c>
      <c r="AR67" s="2"/>
      <c r="AS67" s="29">
        <f t="shared" si="8"/>
        <v>399.51038338334115</v>
      </c>
      <c r="AT67" s="2">
        <v>2.6611329390000001E-2</v>
      </c>
      <c r="AU67" s="2">
        <v>-53.902481829999999</v>
      </c>
      <c r="AV67" s="2">
        <v>-13.530094180000001</v>
      </c>
      <c r="CE67" s="2">
        <f t="shared" si="2"/>
        <v>2.5702876400000001</v>
      </c>
      <c r="CF67" s="19">
        <f t="shared" si="3"/>
        <v>2.7366867720000001</v>
      </c>
      <c r="CG67" s="2">
        <f t="shared" si="4"/>
        <v>373.36927674650627</v>
      </c>
      <c r="CH67" s="24">
        <f t="shared" si="5"/>
        <v>397.54101636008761</v>
      </c>
      <c r="CI67" s="2">
        <v>0.31760505989999999</v>
      </c>
      <c r="CJ67" s="20">
        <f t="shared" si="6"/>
        <v>0.36492478909787884</v>
      </c>
    </row>
    <row r="68" spans="1:88" x14ac:dyDescent="0.25">
      <c r="A68" s="5">
        <v>2.5702876400000001</v>
      </c>
      <c r="B68" s="6"/>
      <c r="C68" s="5">
        <v>0.33747806219999998</v>
      </c>
      <c r="D68" s="5"/>
      <c r="E68" s="10">
        <f t="shared" ref="E68:E131" si="9">-(C68/$C$6)</f>
        <v>0.38767188541839176</v>
      </c>
      <c r="F68" s="5"/>
      <c r="G68" s="21">
        <f t="shared" si="7"/>
        <v>373.36927674650627</v>
      </c>
      <c r="H68" s="2">
        <v>6.4589958789999999E-2</v>
      </c>
      <c r="I68" s="5">
        <v>-61.11926261</v>
      </c>
      <c r="J68" s="5">
        <v>-15</v>
      </c>
      <c r="K68" s="4"/>
      <c r="AM68" s="2">
        <v>2.7366867720000001</v>
      </c>
      <c r="AN68" s="30"/>
      <c r="AO68" s="2">
        <v>0.31760505989999999</v>
      </c>
      <c r="AP68" s="2"/>
      <c r="AQ68" s="20">
        <f t="shared" ref="AQ68:AQ131" si="10">-(AO68/$C$6)</f>
        <v>0.36484312961618709</v>
      </c>
      <c r="AR68" s="2"/>
      <c r="AS68" s="29">
        <f t="shared" si="8"/>
        <v>397.54101636008761</v>
      </c>
      <c r="AT68" s="2">
        <v>2.6611329390000001E-2</v>
      </c>
      <c r="AU68" s="2">
        <v>-52.179057309999997</v>
      </c>
      <c r="AV68" s="2">
        <v>-12.806279480000001</v>
      </c>
      <c r="CE68" s="2">
        <f t="shared" ref="CE68:CE131" si="11">A69</f>
        <v>2.5577085460000002</v>
      </c>
      <c r="CF68" s="19">
        <f t="shared" ref="CF68:CF131" si="12">AM69</f>
        <v>2.7235876210000001</v>
      </c>
      <c r="CG68" s="2">
        <f t="shared" ref="CG68:CG131" si="13">G69</f>
        <v>371.54199206606239</v>
      </c>
      <c r="CH68" s="24">
        <f t="shared" ref="CH68:CH131" si="14">AS69</f>
        <v>395.63818631929757</v>
      </c>
      <c r="CI68" s="2">
        <v>0.32811380849999999</v>
      </c>
      <c r="CJ68" s="20">
        <f t="shared" ref="CJ68:CJ131" si="15">-(CI68/$CI$5)</f>
        <v>0.37699922792371204</v>
      </c>
    </row>
    <row r="69" spans="1:88" x14ac:dyDescent="0.25">
      <c r="A69" s="5">
        <v>2.5577085460000002</v>
      </c>
      <c r="B69" s="6"/>
      <c r="C69" s="5">
        <v>0.34864435830000001</v>
      </c>
      <c r="D69" s="5"/>
      <c r="E69" s="10">
        <f t="shared" si="9"/>
        <v>0.40049896826344383</v>
      </c>
      <c r="F69" s="5"/>
      <c r="G69" s="21">
        <f t="shared" ref="G69:G132" si="16">1/2*$CB$4*($CC$4)^2*$CD$4*A69</f>
        <v>371.54199206606239</v>
      </c>
      <c r="H69" s="2">
        <v>6.4589958789999999E-2</v>
      </c>
      <c r="I69" s="5">
        <v>-59.388945569999997</v>
      </c>
      <c r="J69" s="5">
        <v>-14</v>
      </c>
      <c r="K69" s="4"/>
      <c r="AM69" s="2">
        <v>2.7235876210000001</v>
      </c>
      <c r="AN69" s="30"/>
      <c r="AO69" s="2">
        <v>0.32811380849999999</v>
      </c>
      <c r="AP69" s="2"/>
      <c r="AQ69" s="20">
        <f t="shared" si="10"/>
        <v>0.37691486653618733</v>
      </c>
      <c r="AR69" s="2"/>
      <c r="AS69" s="29">
        <f t="shared" ref="AS69:AS132" si="17">1/2*$CB$4*($CC$4)^2*$CD$4*AM69</f>
        <v>395.63818631929757</v>
      </c>
      <c r="AT69" s="2">
        <v>2.6611329390000001E-2</v>
      </c>
      <c r="AU69" s="2">
        <v>-50.708637850000002</v>
      </c>
      <c r="AV69" s="2">
        <v>-12.20593057</v>
      </c>
      <c r="CE69" s="2">
        <f t="shared" si="11"/>
        <v>2.545655446</v>
      </c>
      <c r="CF69" s="19">
        <f t="shared" si="12"/>
        <v>2.7110137569999999</v>
      </c>
      <c r="CG69" s="2">
        <f t="shared" si="13"/>
        <v>369.79111517605276</v>
      </c>
      <c r="CH69" s="24">
        <f t="shared" si="14"/>
        <v>393.81166136756531</v>
      </c>
      <c r="CI69" s="2">
        <v>0.33659962640000002</v>
      </c>
      <c r="CJ69" s="20">
        <f t="shared" si="15"/>
        <v>0.38674934118845516</v>
      </c>
    </row>
    <row r="70" spans="1:88" x14ac:dyDescent="0.25">
      <c r="A70" s="5">
        <v>2.545655446</v>
      </c>
      <c r="B70" s="6"/>
      <c r="C70" s="5">
        <v>0.35766114589999998</v>
      </c>
      <c r="D70" s="5"/>
      <c r="E70" s="10">
        <f t="shared" si="9"/>
        <v>0.41085684168052417</v>
      </c>
      <c r="F70" s="5"/>
      <c r="G70" s="21">
        <f t="shared" si="16"/>
        <v>369.79111517605276</v>
      </c>
      <c r="H70" s="2">
        <v>6.4589958789999999E-2</v>
      </c>
      <c r="I70" s="5">
        <v>-57.964414650000002</v>
      </c>
      <c r="J70" s="5">
        <v>-14</v>
      </c>
      <c r="K70" s="4"/>
      <c r="AM70" s="2">
        <v>2.7110137569999999</v>
      </c>
      <c r="AN70" s="30"/>
      <c r="AO70" s="2">
        <v>0.33659962640000002</v>
      </c>
      <c r="AP70" s="2"/>
      <c r="AQ70" s="20">
        <f t="shared" si="10"/>
        <v>0.38666279801109477</v>
      </c>
      <c r="AR70" s="2"/>
      <c r="AS70" s="29">
        <f t="shared" si="17"/>
        <v>393.81166136756531</v>
      </c>
      <c r="AT70" s="2">
        <v>2.6611329390000001E-2</v>
      </c>
      <c r="AU70" s="2">
        <v>-49.497962010000002</v>
      </c>
      <c r="AV70" s="2">
        <v>-11.723592829999999</v>
      </c>
      <c r="CE70" s="2">
        <f t="shared" si="11"/>
        <v>2.5341259260000002</v>
      </c>
      <c r="CF70" s="19">
        <f t="shared" si="12"/>
        <v>2.6988869420000001</v>
      </c>
      <c r="CG70" s="2">
        <f t="shared" si="13"/>
        <v>368.11629541010848</v>
      </c>
      <c r="CH70" s="24">
        <f t="shared" si="14"/>
        <v>392.05007637010232</v>
      </c>
      <c r="CI70" s="2">
        <v>0.34301019570000002</v>
      </c>
      <c r="CJ70" s="20">
        <f t="shared" si="15"/>
        <v>0.39411501618915068</v>
      </c>
    </row>
    <row r="71" spans="1:88" x14ac:dyDescent="0.25">
      <c r="A71" s="5">
        <v>2.5341259260000002</v>
      </c>
      <c r="B71" s="6"/>
      <c r="C71" s="5">
        <v>0.36447283359999999</v>
      </c>
      <c r="D71" s="5"/>
      <c r="E71" s="10">
        <f t="shared" si="9"/>
        <v>0.41868164604358615</v>
      </c>
      <c r="F71" s="5"/>
      <c r="G71" s="21">
        <f t="shared" si="16"/>
        <v>368.11629541010848</v>
      </c>
      <c r="H71" s="2">
        <v>6.4589958789999999E-2</v>
      </c>
      <c r="I71" s="5">
        <v>-56.851690009999999</v>
      </c>
      <c r="J71" s="5">
        <v>-13</v>
      </c>
      <c r="K71" s="4"/>
      <c r="AM71" s="2">
        <v>2.6988869420000001</v>
      </c>
      <c r="AN71" s="30"/>
      <c r="AO71" s="2">
        <v>0.34301019570000002</v>
      </c>
      <c r="AP71" s="2"/>
      <c r="AQ71" s="20">
        <f t="shared" si="10"/>
        <v>0.39402682478941453</v>
      </c>
      <c r="AR71" s="2"/>
      <c r="AS71" s="29">
        <f t="shared" si="17"/>
        <v>392.05007637010232</v>
      </c>
      <c r="AT71" s="2">
        <v>2.6611329390000001E-2</v>
      </c>
      <c r="AU71" s="2">
        <v>-48.552206239999997</v>
      </c>
      <c r="AV71" s="2">
        <v>-11.35435331</v>
      </c>
      <c r="CE71" s="2">
        <f t="shared" si="11"/>
        <v>2.5235630050000002</v>
      </c>
      <c r="CF71" s="19">
        <f t="shared" si="12"/>
        <v>2.686995054</v>
      </c>
      <c r="CG71" s="2">
        <f t="shared" si="13"/>
        <v>366.58188731012615</v>
      </c>
      <c r="CH71" s="24">
        <f t="shared" si="14"/>
        <v>390.3226177181553</v>
      </c>
      <c r="CI71" s="2">
        <v>0.34730599299999998</v>
      </c>
      <c r="CJ71" s="20">
        <f t="shared" si="15"/>
        <v>0.39905084096537846</v>
      </c>
    </row>
    <row r="72" spans="1:88" x14ac:dyDescent="0.25">
      <c r="A72" s="5">
        <v>2.5235630050000002</v>
      </c>
      <c r="B72" s="6"/>
      <c r="C72" s="5">
        <v>0.36903742509999998</v>
      </c>
      <c r="D72" s="5"/>
      <c r="E72" s="10">
        <f t="shared" si="9"/>
        <v>0.42392513885444943</v>
      </c>
      <c r="F72" s="5"/>
      <c r="G72" s="21">
        <f t="shared" si="16"/>
        <v>366.58188731012615</v>
      </c>
      <c r="H72" s="2">
        <v>6.4589958789999999E-2</v>
      </c>
      <c r="I72" s="5">
        <v>-56.054994430000001</v>
      </c>
      <c r="J72" s="5">
        <v>-13</v>
      </c>
      <c r="K72" s="4"/>
      <c r="AM72" s="2">
        <v>2.686995054</v>
      </c>
      <c r="AN72" s="30"/>
      <c r="AO72" s="2">
        <v>0.34730599299999998</v>
      </c>
      <c r="AP72" s="2"/>
      <c r="AQ72" s="20">
        <f t="shared" si="10"/>
        <v>0.39896154507259335</v>
      </c>
      <c r="AR72" s="2"/>
      <c r="AS72" s="29">
        <f t="shared" si="17"/>
        <v>390.3226177181553</v>
      </c>
      <c r="AT72" s="2">
        <v>2.6611329390000001E-2</v>
      </c>
      <c r="AU72" s="2">
        <v>-47.875014290000003</v>
      </c>
      <c r="AV72" s="2">
        <v>-11.09404322</v>
      </c>
      <c r="CE72" s="2">
        <f t="shared" si="11"/>
        <v>2.5177746220000001</v>
      </c>
      <c r="CF72" s="19">
        <f t="shared" si="12"/>
        <v>2.6737828480000001</v>
      </c>
      <c r="CG72" s="2">
        <f t="shared" si="13"/>
        <v>365.74104586475318</v>
      </c>
      <c r="CH72" s="24">
        <f t="shared" si="14"/>
        <v>388.40336489925841</v>
      </c>
      <c r="CI72" s="2">
        <v>0.3494605334</v>
      </c>
      <c r="CJ72" s="20">
        <f t="shared" si="15"/>
        <v>0.40152638465262452</v>
      </c>
    </row>
    <row r="73" spans="1:88" x14ac:dyDescent="0.25">
      <c r="A73" s="5">
        <v>2.5177746220000001</v>
      </c>
      <c r="B73" s="6"/>
      <c r="C73" s="5">
        <v>0.37132677819999999</v>
      </c>
      <c r="D73" s="5"/>
      <c r="E73" s="10">
        <f t="shared" si="9"/>
        <v>0.42655499226441557</v>
      </c>
      <c r="F73" s="5"/>
      <c r="G73" s="21">
        <f t="shared" si="16"/>
        <v>365.74104586475318</v>
      </c>
      <c r="H73" s="2">
        <v>6.4589958789999999E-2</v>
      </c>
      <c r="I73" s="5">
        <v>-55.576746559999997</v>
      </c>
      <c r="J73" s="5">
        <v>-13</v>
      </c>
      <c r="K73" s="4"/>
      <c r="AM73" s="2">
        <v>2.6737828480000001</v>
      </c>
      <c r="AN73" s="30"/>
      <c r="AO73" s="2">
        <v>0.3494605334</v>
      </c>
      <c r="AP73" s="2"/>
      <c r="AQ73" s="20">
        <f t="shared" si="10"/>
        <v>0.40143653480565372</v>
      </c>
      <c r="AR73" s="2"/>
      <c r="AS73" s="29">
        <f t="shared" si="17"/>
        <v>388.40336489925841</v>
      </c>
      <c r="AT73" s="2">
        <v>2.6611329390000001E-2</v>
      </c>
      <c r="AU73" s="2">
        <v>-47.468485459999997</v>
      </c>
      <c r="AV73" s="2">
        <v>-10.93939986</v>
      </c>
      <c r="CE73" s="2">
        <f t="shared" si="11"/>
        <v>2.5430580890000001</v>
      </c>
      <c r="CF73" s="19">
        <f t="shared" si="12"/>
        <v>2.7090849590000001</v>
      </c>
      <c r="CG73" s="2">
        <f t="shared" si="13"/>
        <v>369.41381370618984</v>
      </c>
      <c r="CH73" s="24">
        <f t="shared" si="14"/>
        <v>393.53147719555182</v>
      </c>
      <c r="CI73" s="2">
        <v>0.3637381885</v>
      </c>
      <c r="CJ73" s="20">
        <f t="shared" si="15"/>
        <v>0.41793125640693551</v>
      </c>
    </row>
    <row r="74" spans="1:88" x14ac:dyDescent="0.25">
      <c r="A74" s="5">
        <v>2.5430580890000001</v>
      </c>
      <c r="B74" s="6"/>
      <c r="C74" s="5">
        <v>0.38506510980000003</v>
      </c>
      <c r="D74" s="5"/>
      <c r="E74" s="10">
        <f t="shared" si="9"/>
        <v>0.4423366548683651</v>
      </c>
      <c r="F74" s="5"/>
      <c r="G74" s="21">
        <f t="shared" si="16"/>
        <v>369.41381370618984</v>
      </c>
      <c r="H74" s="2">
        <v>6.4589958789999999E-2</v>
      </c>
      <c r="I74" s="5">
        <v>-55.417529379999998</v>
      </c>
      <c r="J74" s="5">
        <v>-13</v>
      </c>
      <c r="K74" s="4"/>
      <c r="AM74" s="2">
        <v>2.7090849590000001</v>
      </c>
      <c r="AN74" s="30"/>
      <c r="AO74" s="2">
        <v>0.3637381885</v>
      </c>
      <c r="AP74" s="2"/>
      <c r="AQ74" s="20">
        <f t="shared" si="10"/>
        <v>0.41783773563005061</v>
      </c>
      <c r="AR74" s="2"/>
      <c r="AS74" s="29">
        <f t="shared" si="17"/>
        <v>393.53147719555182</v>
      </c>
      <c r="AT74" s="2">
        <v>2.6611329390000001E-2</v>
      </c>
      <c r="AU74" s="2">
        <v>-47.333140980000003</v>
      </c>
      <c r="AV74" s="2">
        <v>-10.888184539999999</v>
      </c>
      <c r="CE74" s="2">
        <f t="shared" si="11"/>
        <v>2.5729614490000001</v>
      </c>
      <c r="CF74" s="19">
        <f t="shared" si="12"/>
        <v>2.7414012859999999</v>
      </c>
      <c r="CG74" s="2">
        <f t="shared" si="13"/>
        <v>373.75768391033961</v>
      </c>
      <c r="CH74" s="24">
        <f t="shared" si="14"/>
        <v>398.22586371141017</v>
      </c>
      <c r="CI74" s="2">
        <v>0.3911769101</v>
      </c>
      <c r="CJ74" s="20">
        <f t="shared" si="15"/>
        <v>0.44945805165430375</v>
      </c>
    </row>
    <row r="75" spans="1:88" x14ac:dyDescent="0.25">
      <c r="A75" s="5">
        <v>2.5729614490000001</v>
      </c>
      <c r="B75" s="6"/>
      <c r="C75" s="5">
        <v>0.41135924470000002</v>
      </c>
      <c r="D75" s="5"/>
      <c r="E75" s="10">
        <f t="shared" si="9"/>
        <v>0.47254157185075418</v>
      </c>
      <c r="F75" s="5"/>
      <c r="G75" s="21">
        <f t="shared" si="16"/>
        <v>373.75768391033961</v>
      </c>
      <c r="H75" s="2">
        <v>5.8599392780000002E-2</v>
      </c>
      <c r="I75" s="5">
        <v>-51.37633838</v>
      </c>
      <c r="J75" s="5">
        <v>-11</v>
      </c>
      <c r="K75" s="4"/>
      <c r="AM75" s="2">
        <v>2.7414012859999999</v>
      </c>
      <c r="AN75" s="30"/>
      <c r="AO75" s="2">
        <v>0.3911769101</v>
      </c>
      <c r="AP75" s="2"/>
      <c r="AQ75" s="20">
        <f t="shared" si="10"/>
        <v>0.44935747610384297</v>
      </c>
      <c r="AR75" s="2"/>
      <c r="AS75" s="29">
        <f t="shared" si="17"/>
        <v>398.22586371141017</v>
      </c>
      <c r="AT75" s="2">
        <v>2.407730856E-2</v>
      </c>
      <c r="AU75" s="2">
        <v>-43.89876469</v>
      </c>
      <c r="AV75" s="2">
        <v>-9.5876413100000004</v>
      </c>
      <c r="CE75" s="2">
        <f t="shared" si="11"/>
        <v>2.596702622</v>
      </c>
      <c r="CF75" s="19">
        <f t="shared" si="12"/>
        <v>2.767181339</v>
      </c>
      <c r="CG75" s="2">
        <f t="shared" si="13"/>
        <v>377.2064125484012</v>
      </c>
      <c r="CH75" s="24">
        <f t="shared" si="14"/>
        <v>401.97076743086183</v>
      </c>
      <c r="CI75" s="2">
        <v>0.41850276870000003</v>
      </c>
      <c r="CJ75" s="20">
        <f t="shared" si="15"/>
        <v>0.48085516853167082</v>
      </c>
    </row>
    <row r="76" spans="1:88" x14ac:dyDescent="0.25">
      <c r="A76" s="5">
        <v>2.596702622</v>
      </c>
      <c r="B76" s="6"/>
      <c r="C76" s="5">
        <v>0.4375452246</v>
      </c>
      <c r="D76" s="5"/>
      <c r="E76" s="10">
        <f t="shared" si="9"/>
        <v>0.50262224771212305</v>
      </c>
      <c r="F76" s="5"/>
      <c r="G76" s="21">
        <f t="shared" si="16"/>
        <v>377.2064125484012</v>
      </c>
      <c r="H76" s="2">
        <v>5.3063251300000003E-2</v>
      </c>
      <c r="I76" s="5">
        <v>-47.42560452</v>
      </c>
      <c r="J76" s="5">
        <v>-10</v>
      </c>
      <c r="K76" s="4"/>
      <c r="AM76" s="2">
        <v>2.767181339</v>
      </c>
      <c r="AN76" s="30"/>
      <c r="AO76" s="2">
        <v>0.41850276870000003</v>
      </c>
      <c r="AP76" s="2"/>
      <c r="AQ76" s="20">
        <f t="shared" si="10"/>
        <v>0.48074756722585604</v>
      </c>
      <c r="AR76" s="2"/>
      <c r="AS76" s="29">
        <f t="shared" si="17"/>
        <v>401.97076743086183</v>
      </c>
      <c r="AT76" s="2">
        <v>2.1767401419999999E-2</v>
      </c>
      <c r="AU76" s="2">
        <v>-40.540575590000003</v>
      </c>
      <c r="AV76" s="2">
        <v>-8.3847683530000001</v>
      </c>
      <c r="CE76" s="2">
        <f t="shared" si="11"/>
        <v>2.6167076659999999</v>
      </c>
      <c r="CF76" s="19">
        <f t="shared" si="12"/>
        <v>2.789008806</v>
      </c>
      <c r="CG76" s="2">
        <f t="shared" si="13"/>
        <v>380.11241757808028</v>
      </c>
      <c r="CH76" s="24">
        <f t="shared" si="14"/>
        <v>405.14150421540251</v>
      </c>
      <c r="CI76" s="2">
        <v>0.44564086590000002</v>
      </c>
      <c r="CJ76" s="20">
        <f t="shared" si="15"/>
        <v>0.51203654958506417</v>
      </c>
    </row>
    <row r="77" spans="1:88" x14ac:dyDescent="0.25">
      <c r="A77" s="5">
        <v>2.6167076659999999</v>
      </c>
      <c r="B77" s="6"/>
      <c r="C77" s="5">
        <v>0.46355127550000003</v>
      </c>
      <c r="D77" s="5"/>
      <c r="E77" s="10">
        <f t="shared" si="9"/>
        <v>0.53249623335423246</v>
      </c>
      <c r="F77" s="5"/>
      <c r="G77" s="21">
        <f t="shared" si="16"/>
        <v>380.11241757808028</v>
      </c>
      <c r="H77" s="2">
        <v>4.7973682910000003E-2</v>
      </c>
      <c r="I77" s="5">
        <v>-43.58434544</v>
      </c>
      <c r="J77" s="5">
        <v>-8</v>
      </c>
      <c r="K77" s="4"/>
      <c r="AM77" s="2">
        <v>2.789008806</v>
      </c>
      <c r="AN77" s="30"/>
      <c r="AO77" s="2">
        <v>0.44564086590000002</v>
      </c>
      <c r="AP77" s="2"/>
      <c r="AQ77" s="20">
        <f t="shared" si="10"/>
        <v>0.51192197079925539</v>
      </c>
      <c r="AR77" s="2"/>
      <c r="AS77" s="29">
        <f t="shared" si="17"/>
        <v>405.14150421540251</v>
      </c>
      <c r="AT77" s="2">
        <v>1.9669163100000001E-2</v>
      </c>
      <c r="AU77" s="2">
        <v>-37.274822229999998</v>
      </c>
      <c r="AV77" s="2">
        <v>-7.280011279</v>
      </c>
      <c r="CE77" s="2">
        <f t="shared" si="11"/>
        <v>2.633413043</v>
      </c>
      <c r="CF77" s="19">
        <f t="shared" si="12"/>
        <v>2.807392669</v>
      </c>
      <c r="CG77" s="2">
        <f t="shared" si="13"/>
        <v>382.53910104774354</v>
      </c>
      <c r="CH77" s="24">
        <f t="shared" si="14"/>
        <v>407.81201063083114</v>
      </c>
      <c r="CI77" s="2">
        <v>0.47251681820000002</v>
      </c>
      <c r="CJ77" s="20">
        <f t="shared" si="15"/>
        <v>0.54291672897505938</v>
      </c>
    </row>
    <row r="78" spans="1:88" x14ac:dyDescent="0.25">
      <c r="A78" s="5">
        <v>2.633413043</v>
      </c>
      <c r="B78" s="6"/>
      <c r="C78" s="5">
        <v>0.48930611660000001</v>
      </c>
      <c r="D78" s="5"/>
      <c r="E78" s="10">
        <f t="shared" si="9"/>
        <v>0.56208164623351753</v>
      </c>
      <c r="F78" s="5"/>
      <c r="G78" s="21">
        <f t="shared" si="16"/>
        <v>382.53910104774354</v>
      </c>
      <c r="H78" s="2">
        <v>4.3309587429999997E-2</v>
      </c>
      <c r="I78" s="5">
        <v>-39.867303</v>
      </c>
      <c r="J78" s="5">
        <v>-7</v>
      </c>
      <c r="K78" s="4"/>
      <c r="AM78" s="2">
        <v>2.807392669</v>
      </c>
      <c r="AN78" s="30"/>
      <c r="AO78" s="2">
        <v>0.47251681820000002</v>
      </c>
      <c r="AP78" s="2"/>
      <c r="AQ78" s="20">
        <f t="shared" si="10"/>
        <v>0.54279524010936864</v>
      </c>
      <c r="AR78" s="2"/>
      <c r="AS78" s="29">
        <f t="shared" si="17"/>
        <v>407.81201063083114</v>
      </c>
      <c r="AT78" s="2">
        <v>1.7767589310000002E-2</v>
      </c>
      <c r="AU78" s="2">
        <v>-34.1140811</v>
      </c>
      <c r="AV78" s="2">
        <v>-6.2726389490000001</v>
      </c>
      <c r="CE78" s="2">
        <f t="shared" si="11"/>
        <v>2.6467729860000002</v>
      </c>
      <c r="CF78" s="19">
        <f t="shared" si="12"/>
        <v>2.8223339730000001</v>
      </c>
      <c r="CG78" s="2">
        <f t="shared" si="13"/>
        <v>384.47981467747746</v>
      </c>
      <c r="CH78" s="24">
        <f t="shared" si="14"/>
        <v>409.98243847762643</v>
      </c>
      <c r="CI78" s="2">
        <v>0.49905696040000003</v>
      </c>
      <c r="CJ78" s="20">
        <f t="shared" si="15"/>
        <v>0.5734110661811862</v>
      </c>
    </row>
    <row r="79" spans="1:88" x14ac:dyDescent="0.25">
      <c r="A79" s="5">
        <v>2.6467729860000002</v>
      </c>
      <c r="B79" s="6"/>
      <c r="C79" s="5">
        <v>0.51473915569999995</v>
      </c>
      <c r="D79" s="5"/>
      <c r="E79" s="10">
        <f t="shared" si="9"/>
        <v>0.59129739482334298</v>
      </c>
      <c r="F79" s="5"/>
      <c r="G79" s="21">
        <f t="shared" si="16"/>
        <v>384.47981467747746</v>
      </c>
      <c r="H79" s="2">
        <v>3.9045130599999998E-2</v>
      </c>
      <c r="I79" s="5">
        <v>-36.2871357</v>
      </c>
      <c r="J79" s="5">
        <v>-6</v>
      </c>
      <c r="K79" s="4"/>
      <c r="AM79" s="2">
        <v>2.8223339730000001</v>
      </c>
      <c r="AN79" s="30"/>
      <c r="AO79" s="2">
        <v>0.49905696040000003</v>
      </c>
      <c r="AP79" s="2"/>
      <c r="AQ79" s="20">
        <f t="shared" si="10"/>
        <v>0.57328275357579583</v>
      </c>
      <c r="AR79" s="2"/>
      <c r="AS79" s="29">
        <f t="shared" si="17"/>
        <v>409.98243847762643</v>
      </c>
      <c r="AT79" s="2">
        <v>1.6046675539999999E-2</v>
      </c>
      <c r="AU79" s="2">
        <v>-31.069106080000001</v>
      </c>
      <c r="AV79" s="2">
        <v>-5.3608937020000003</v>
      </c>
      <c r="CE79" s="2">
        <f t="shared" si="11"/>
        <v>2.6565336369999999</v>
      </c>
      <c r="CF79" s="19">
        <f t="shared" si="12"/>
        <v>2.8336161679999998</v>
      </c>
      <c r="CG79" s="2">
        <f t="shared" si="13"/>
        <v>385.89768213625143</v>
      </c>
      <c r="CH79" s="24">
        <f t="shared" si="14"/>
        <v>411.62133091974351</v>
      </c>
      <c r="CI79" s="2">
        <v>0.52518854780000002</v>
      </c>
      <c r="CJ79" s="20">
        <f t="shared" si="15"/>
        <v>0.60343597832754892</v>
      </c>
    </row>
    <row r="80" spans="1:88" x14ac:dyDescent="0.25">
      <c r="A80" s="5">
        <v>2.6565336369999999</v>
      </c>
      <c r="B80" s="6"/>
      <c r="C80" s="5">
        <v>0.53978068260000001</v>
      </c>
      <c r="D80" s="5"/>
      <c r="E80" s="10">
        <f t="shared" si="9"/>
        <v>0.62006340077879141</v>
      </c>
      <c r="F80" s="5"/>
      <c r="G80" s="21">
        <f t="shared" si="16"/>
        <v>385.89768213625143</v>
      </c>
      <c r="H80" s="2">
        <v>3.5152245929999999E-2</v>
      </c>
      <c r="I80" s="5">
        <v>-32.85488522</v>
      </c>
      <c r="J80" s="5">
        <v>-5</v>
      </c>
      <c r="K80" s="4"/>
      <c r="AM80" s="2">
        <v>2.8336161679999998</v>
      </c>
      <c r="AN80" s="30"/>
      <c r="AO80" s="2">
        <v>0.52518854780000002</v>
      </c>
      <c r="AP80" s="2"/>
      <c r="AQ80" s="20">
        <f t="shared" si="10"/>
        <v>0.60330094702604098</v>
      </c>
      <c r="AR80" s="2"/>
      <c r="AS80" s="29">
        <f t="shared" si="17"/>
        <v>411.62133091974351</v>
      </c>
      <c r="AT80" s="2">
        <v>1.4490118789999999E-2</v>
      </c>
      <c r="AU80" s="2">
        <v>-28.149227490000001</v>
      </c>
      <c r="AV80" s="2">
        <v>-4.5421008609999998</v>
      </c>
      <c r="CE80" s="2">
        <f t="shared" si="11"/>
        <v>2.6623135119999999</v>
      </c>
      <c r="CF80" s="19">
        <f t="shared" si="12"/>
        <v>2.8408885169999998</v>
      </c>
      <c r="CG80" s="2">
        <f t="shared" si="13"/>
        <v>386.73728767877941</v>
      </c>
      <c r="CH80" s="24">
        <f t="shared" si="14"/>
        <v>412.67773863229746</v>
      </c>
      <c r="CI80" s="2">
        <v>0.55083995559999999</v>
      </c>
      <c r="CJ80" s="20">
        <f t="shared" si="15"/>
        <v>0.63290916929127605</v>
      </c>
    </row>
    <row r="81" spans="1:88" x14ac:dyDescent="0.25">
      <c r="A81" s="5">
        <v>2.6623135119999999</v>
      </c>
      <c r="B81" s="6"/>
      <c r="C81" s="5">
        <v>0.56436206030000002</v>
      </c>
      <c r="D81" s="5"/>
      <c r="E81" s="10">
        <f t="shared" si="9"/>
        <v>0.64830081857424249</v>
      </c>
      <c r="F81" s="5"/>
      <c r="G81" s="21">
        <f t="shared" si="16"/>
        <v>386.73728767877941</v>
      </c>
      <c r="H81" s="2">
        <v>3.1601879460000003E-2</v>
      </c>
      <c r="I81" s="5">
        <v>-29.580118219999999</v>
      </c>
      <c r="J81" s="5">
        <v>-4</v>
      </c>
      <c r="K81" s="4"/>
      <c r="AM81" s="2">
        <v>2.8408885169999998</v>
      </c>
      <c r="AN81" s="30"/>
      <c r="AO81" s="2">
        <v>0.55083995559999999</v>
      </c>
      <c r="AP81" s="2"/>
      <c r="AQ81" s="20">
        <f t="shared" si="10"/>
        <v>0.63276754275269509</v>
      </c>
      <c r="AR81" s="2"/>
      <c r="AS81" s="29">
        <f t="shared" si="17"/>
        <v>412.67773863229746</v>
      </c>
      <c r="AT81" s="2">
        <v>1.30817329E-2</v>
      </c>
      <c r="AU81" s="2">
        <v>-25.362480470000001</v>
      </c>
      <c r="AV81" s="2">
        <v>-3.812775448</v>
      </c>
      <c r="CE81" s="2">
        <f t="shared" si="11"/>
        <v>2.6636308889999998</v>
      </c>
      <c r="CF81" s="19">
        <f t="shared" si="12"/>
        <v>2.8436923059999999</v>
      </c>
      <c r="CG81" s="2">
        <f t="shared" si="13"/>
        <v>386.9286546254346</v>
      </c>
      <c r="CH81" s="24">
        <f t="shared" si="14"/>
        <v>413.08502716093852</v>
      </c>
      <c r="CI81" s="2">
        <v>0.57594087500000002</v>
      </c>
      <c r="CJ81" s="20">
        <f t="shared" si="15"/>
        <v>0.6617498550193055</v>
      </c>
    </row>
    <row r="82" spans="1:88" x14ac:dyDescent="0.25">
      <c r="A82" s="5">
        <v>2.6636308889999998</v>
      </c>
      <c r="B82" s="6"/>
      <c r="C82" s="5">
        <v>0.58841591280000005</v>
      </c>
      <c r="D82" s="5"/>
      <c r="E82" s="10">
        <f t="shared" si="9"/>
        <v>0.67593225123526268</v>
      </c>
      <c r="F82" s="5"/>
      <c r="G82" s="21">
        <f t="shared" si="16"/>
        <v>386.9286546254346</v>
      </c>
      <c r="H82" s="2">
        <v>2.8364836340000001E-2</v>
      </c>
      <c r="I82" s="5">
        <v>-26.47097845</v>
      </c>
      <c r="J82" s="5">
        <v>-4</v>
      </c>
      <c r="K82" s="4"/>
      <c r="AM82" s="2">
        <v>2.8436923059999999</v>
      </c>
      <c r="AN82" s="30"/>
      <c r="AO82" s="2">
        <v>0.57594087500000002</v>
      </c>
      <c r="AP82" s="2"/>
      <c r="AQ82" s="20">
        <f t="shared" si="10"/>
        <v>0.66160177477980164</v>
      </c>
      <c r="AR82" s="2"/>
      <c r="AS82" s="29">
        <f t="shared" si="17"/>
        <v>413.08502716093852</v>
      </c>
      <c r="AT82" s="2">
        <v>1.1805755899999999E-2</v>
      </c>
      <c r="AU82" s="2">
        <v>-22.715660209999999</v>
      </c>
      <c r="AV82" s="2">
        <v>-3.168731674</v>
      </c>
      <c r="CE82" s="2">
        <f t="shared" si="11"/>
        <v>2.6599124629999999</v>
      </c>
      <c r="CF82" s="19">
        <f t="shared" si="12"/>
        <v>2.8414664429999998</v>
      </c>
      <c r="CG82" s="2">
        <f t="shared" si="13"/>
        <v>386.38850261884625</v>
      </c>
      <c r="CH82" s="24">
        <f t="shared" si="14"/>
        <v>412.76169025283792</v>
      </c>
      <c r="CI82" s="2">
        <v>0.60042250620000004</v>
      </c>
      <c r="CJ82" s="20">
        <f t="shared" si="15"/>
        <v>0.68987898528330371</v>
      </c>
    </row>
    <row r="83" spans="1:88" x14ac:dyDescent="0.25">
      <c r="A83" s="5">
        <v>2.6599124629999999</v>
      </c>
      <c r="B83" s="6"/>
      <c r="C83" s="5">
        <v>0.6118763102</v>
      </c>
      <c r="D83" s="5"/>
      <c r="E83" s="10">
        <f t="shared" si="9"/>
        <v>0.70288196296891836</v>
      </c>
      <c r="F83" s="5"/>
      <c r="G83" s="21">
        <f t="shared" si="16"/>
        <v>386.38850261884625</v>
      </c>
      <c r="H83" s="2">
        <v>2.5412438450000002E-2</v>
      </c>
      <c r="I83" s="5">
        <v>-23.534212369999999</v>
      </c>
      <c r="J83" s="5">
        <v>-3</v>
      </c>
      <c r="K83" s="4"/>
      <c r="AM83" s="2">
        <v>2.8414664429999998</v>
      </c>
      <c r="AN83" s="30"/>
      <c r="AO83" s="2">
        <v>0.60042250620000004</v>
      </c>
      <c r="AP83" s="2"/>
      <c r="AQ83" s="20">
        <f t="shared" si="10"/>
        <v>0.68972461056815337</v>
      </c>
      <c r="AR83" s="2"/>
      <c r="AS83" s="29">
        <f t="shared" si="17"/>
        <v>412.76169025283792</v>
      </c>
      <c r="AT83" s="2">
        <v>1.064709921E-2</v>
      </c>
      <c r="AU83" s="2">
        <v>-20.214357119999999</v>
      </c>
      <c r="AV83" s="2">
        <v>-2.6051953339999998</v>
      </c>
      <c r="CE83" s="2">
        <f t="shared" si="11"/>
        <v>2.6504946870000001</v>
      </c>
      <c r="CF83" s="19">
        <f t="shared" si="12"/>
        <v>2.833544624</v>
      </c>
      <c r="CG83" s="2">
        <f t="shared" si="13"/>
        <v>385.02044242240822</v>
      </c>
      <c r="CH83" s="24">
        <f t="shared" si="14"/>
        <v>411.6109381796004</v>
      </c>
      <c r="CI83" s="2">
        <v>0.62421774669999996</v>
      </c>
      <c r="CJ83" s="20">
        <f t="shared" si="15"/>
        <v>0.71721946003433512</v>
      </c>
    </row>
    <row r="84" spans="1:88" x14ac:dyDescent="0.25">
      <c r="A84" s="5">
        <v>2.6504946870000001</v>
      </c>
      <c r="B84" s="6"/>
      <c r="C84" s="5">
        <v>0.63467894930000002</v>
      </c>
      <c r="D84" s="5"/>
      <c r="E84" s="10">
        <f t="shared" si="9"/>
        <v>0.72907608662479417</v>
      </c>
      <c r="F84" s="5"/>
      <c r="G84" s="21">
        <f t="shared" si="16"/>
        <v>385.02044242240822</v>
      </c>
      <c r="H84" s="2">
        <v>2.2717065030000001E-2</v>
      </c>
      <c r="I84" s="5">
        <v>-20.775189619999999</v>
      </c>
      <c r="J84" s="5">
        <v>-2</v>
      </c>
      <c r="K84" s="4"/>
      <c r="AM84" s="2">
        <v>2.833544624</v>
      </c>
      <c r="AN84" s="30"/>
      <c r="AO84" s="2">
        <v>0.62421774669999996</v>
      </c>
      <c r="AP84" s="2"/>
      <c r="AQ84" s="20">
        <f t="shared" si="10"/>
        <v>0.71705896732154784</v>
      </c>
      <c r="AR84" s="2"/>
      <c r="AS84" s="29">
        <f t="shared" si="17"/>
        <v>411.6109381796004</v>
      </c>
      <c r="AT84" s="2">
        <v>9.5915580730000002E-3</v>
      </c>
      <c r="AU84" s="2">
        <v>-17.86298966</v>
      </c>
      <c r="AV84" s="2">
        <v>-2.1169177879999999</v>
      </c>
      <c r="CE84" s="2">
        <f t="shared" si="11"/>
        <v>2.6346228049999998</v>
      </c>
      <c r="CF84" s="19">
        <f t="shared" si="12"/>
        <v>2.8191493649999999</v>
      </c>
      <c r="CG84" s="2">
        <f t="shared" si="13"/>
        <v>382.7148354503629</v>
      </c>
      <c r="CH84" s="24">
        <f t="shared" si="14"/>
        <v>409.51983080400385</v>
      </c>
      <c r="CI84" s="2">
        <v>0.64726137539999995</v>
      </c>
      <c r="CJ84" s="20">
        <f t="shared" si="15"/>
        <v>0.74369634093177739</v>
      </c>
    </row>
    <row r="85" spans="1:88" x14ac:dyDescent="0.25">
      <c r="A85" s="5">
        <v>2.6346228049999998</v>
      </c>
      <c r="B85" s="6"/>
      <c r="C85" s="5">
        <v>0.65676132949999999</v>
      </c>
      <c r="D85" s="5"/>
      <c r="E85" s="10">
        <f t="shared" si="9"/>
        <v>0.75444282575697041</v>
      </c>
      <c r="F85" s="5"/>
      <c r="G85" s="21">
        <f t="shared" si="16"/>
        <v>382.7148354503629</v>
      </c>
      <c r="H85" s="2">
        <v>2.025260634E-2</v>
      </c>
      <c r="I85" s="5">
        <v>-18.197925940000001</v>
      </c>
      <c r="J85" s="5">
        <v>-2</v>
      </c>
      <c r="K85" s="4"/>
      <c r="AM85" s="2">
        <v>2.8191493649999999</v>
      </c>
      <c r="AN85" s="30"/>
      <c r="AO85" s="2">
        <v>0.64726137539999995</v>
      </c>
      <c r="AP85" s="2"/>
      <c r="AQ85" s="20">
        <f t="shared" si="10"/>
        <v>0.74352992346836888</v>
      </c>
      <c r="AR85" s="2"/>
      <c r="AS85" s="29">
        <f t="shared" si="17"/>
        <v>409.51983080400385</v>
      </c>
      <c r="AT85" s="2">
        <v>8.6259907430000001E-3</v>
      </c>
      <c r="AU85" s="2">
        <v>-15.66484026</v>
      </c>
      <c r="AV85" s="2">
        <v>-1.6982898120000001</v>
      </c>
      <c r="CE85" s="2">
        <f t="shared" si="11"/>
        <v>2.6114504919999999</v>
      </c>
      <c r="CF85" s="19">
        <f t="shared" si="12"/>
        <v>2.7973860510000002</v>
      </c>
      <c r="CG85" s="2">
        <f t="shared" si="13"/>
        <v>379.34874147289906</v>
      </c>
      <c r="CH85" s="24">
        <f t="shared" si="14"/>
        <v>406.35841311622045</v>
      </c>
      <c r="CI85" s="2">
        <v>0.66949023139999997</v>
      </c>
      <c r="CJ85" s="20">
        <f t="shared" si="15"/>
        <v>0.76923705678259291</v>
      </c>
    </row>
    <row r="86" spans="1:88" x14ac:dyDescent="0.25">
      <c r="A86" s="5">
        <v>2.6114504919999999</v>
      </c>
      <c r="B86" s="6"/>
      <c r="C86" s="5">
        <v>0.67806292459999995</v>
      </c>
      <c r="D86" s="5"/>
      <c r="E86" s="10">
        <f t="shared" si="9"/>
        <v>0.77891265197619941</v>
      </c>
      <c r="F86" s="5"/>
      <c r="G86" s="21">
        <f t="shared" si="16"/>
        <v>379.34874147289906</v>
      </c>
      <c r="H86" s="2">
        <v>1.7994843949999999E-2</v>
      </c>
      <c r="I86" s="5">
        <v>-15.80511048</v>
      </c>
      <c r="J86" s="5">
        <v>-2</v>
      </c>
      <c r="K86" s="4"/>
      <c r="AM86" s="2">
        <v>2.7973860510000002</v>
      </c>
      <c r="AN86" s="30"/>
      <c r="AO86" s="2">
        <v>0.66949023139999997</v>
      </c>
      <c r="AP86" s="2"/>
      <c r="AQ86" s="20">
        <f t="shared" si="10"/>
        <v>0.7690649240548868</v>
      </c>
      <c r="AR86" s="2"/>
      <c r="AS86" s="29">
        <f t="shared" si="17"/>
        <v>406.35841311622045</v>
      </c>
      <c r="AT86" s="2">
        <v>7.7384699249999998E-3</v>
      </c>
      <c r="AU86" s="2">
        <v>-13.62209539</v>
      </c>
      <c r="AV86" s="2">
        <v>-1.3434535460000001</v>
      </c>
      <c r="CE86" s="2">
        <f t="shared" si="11"/>
        <v>2.5800423280000002</v>
      </c>
      <c r="CF86" s="19">
        <f t="shared" si="12"/>
        <v>2.7672395910000001</v>
      </c>
      <c r="CG86" s="2">
        <f t="shared" si="13"/>
        <v>374.78627799833811</v>
      </c>
      <c r="CH86" s="24">
        <f t="shared" si="14"/>
        <v>401.97922932702107</v>
      </c>
      <c r="CI86" s="2">
        <v>0.69084338680000001</v>
      </c>
      <c r="CJ86" s="20">
        <f t="shared" si="15"/>
        <v>0.79377160208666553</v>
      </c>
    </row>
    <row r="87" spans="1:88" x14ac:dyDescent="0.25">
      <c r="A87" s="5">
        <v>2.5800423280000002</v>
      </c>
      <c r="B87" s="6"/>
      <c r="C87" s="5">
        <v>0.69852534840000002</v>
      </c>
      <c r="D87" s="5"/>
      <c r="E87" s="10">
        <f t="shared" si="9"/>
        <v>0.80241849517994235</v>
      </c>
      <c r="F87" s="5"/>
      <c r="G87" s="21">
        <f t="shared" si="16"/>
        <v>374.78627799833811</v>
      </c>
      <c r="H87" s="2">
        <v>1.5921764120000001E-2</v>
      </c>
      <c r="I87" s="5">
        <v>-13.598136739999999</v>
      </c>
      <c r="J87" s="5">
        <v>-1</v>
      </c>
      <c r="K87" s="4"/>
      <c r="AM87" s="2">
        <v>2.7672395910000001</v>
      </c>
      <c r="AN87" s="30"/>
      <c r="AO87" s="2">
        <v>0.69084338680000001</v>
      </c>
      <c r="AP87" s="2"/>
      <c r="AQ87" s="20">
        <f t="shared" si="10"/>
        <v>0.79359397924616659</v>
      </c>
      <c r="AR87" s="2"/>
      <c r="AS87" s="29">
        <f t="shared" si="17"/>
        <v>401.97922932702107</v>
      </c>
      <c r="AT87" s="2">
        <v>6.9184075970000003E-3</v>
      </c>
      <c r="AU87" s="2">
        <v>-11.73588807</v>
      </c>
      <c r="AV87" s="2">
        <v>-1.046410845</v>
      </c>
      <c r="CE87" s="2">
        <f t="shared" si="11"/>
        <v>2.539381106</v>
      </c>
      <c r="CF87" s="19">
        <f t="shared" si="12"/>
        <v>2.7275763230000001</v>
      </c>
      <c r="CG87" s="2">
        <f t="shared" si="13"/>
        <v>368.87968185963933</v>
      </c>
      <c r="CH87" s="24">
        <f t="shared" si="14"/>
        <v>396.21759959496404</v>
      </c>
      <c r="CI87" s="2">
        <v>0.71126231419999997</v>
      </c>
      <c r="CJ87" s="20">
        <f t="shared" si="15"/>
        <v>0.81723272949249459</v>
      </c>
    </row>
    <row r="88" spans="1:88" x14ac:dyDescent="0.25">
      <c r="A88" s="5">
        <v>2.539381106</v>
      </c>
      <c r="B88" s="6"/>
      <c r="C88" s="5">
        <v>0.71809251480000003</v>
      </c>
      <c r="D88" s="5"/>
      <c r="E88" s="10">
        <f t="shared" si="9"/>
        <v>0.82489592746437901</v>
      </c>
      <c r="F88" s="5"/>
      <c r="G88" s="21">
        <f t="shared" si="16"/>
        <v>368.87968185963933</v>
      </c>
      <c r="H88" s="2">
        <v>1.4013807269999999E-2</v>
      </c>
      <c r="I88" s="5">
        <v>-11.5771351</v>
      </c>
      <c r="J88" s="5">
        <v>-1</v>
      </c>
      <c r="K88" s="4"/>
      <c r="AM88" s="2">
        <v>2.7275763230000001</v>
      </c>
      <c r="AN88" s="30"/>
      <c r="AO88" s="2">
        <v>0.71126231419999997</v>
      </c>
      <c r="AP88" s="2"/>
      <c r="AQ88" s="20">
        <f t="shared" si="10"/>
        <v>0.81704985673869546</v>
      </c>
      <c r="AR88" s="2"/>
      <c r="AS88" s="29">
        <f t="shared" si="17"/>
        <v>396.21759959496404</v>
      </c>
      <c r="AT88" s="2">
        <v>6.1566539700000002E-3</v>
      </c>
      <c r="AU88" s="2">
        <v>-10.00634009</v>
      </c>
      <c r="AV88" s="2">
        <v>-0.80112652370000004</v>
      </c>
      <c r="CE88" s="2">
        <f t="shared" si="11"/>
        <v>2.4883818010000001</v>
      </c>
      <c r="CF88" s="19">
        <f t="shared" si="12"/>
        <v>2.6771540269999998</v>
      </c>
      <c r="CG88" s="2">
        <f t="shared" si="13"/>
        <v>361.47133840185245</v>
      </c>
      <c r="CH88" s="24">
        <f t="shared" si="14"/>
        <v>388.89307455098162</v>
      </c>
      <c r="CI88" s="2">
        <v>0.73069104669999996</v>
      </c>
      <c r="CJ88" s="20">
        <f t="shared" si="15"/>
        <v>0.83955613363546999</v>
      </c>
    </row>
    <row r="89" spans="1:88" x14ac:dyDescent="0.25">
      <c r="A89" s="5">
        <v>2.4883818010000001</v>
      </c>
      <c r="B89" s="6"/>
      <c r="C89" s="5">
        <v>0.73671079169999998</v>
      </c>
      <c r="D89" s="5"/>
      <c r="E89" s="10">
        <f t="shared" si="9"/>
        <v>0.84628333991427984</v>
      </c>
      <c r="F89" s="5"/>
      <c r="G89" s="21">
        <f t="shared" si="16"/>
        <v>361.47133840185245</v>
      </c>
      <c r="H89" s="2">
        <v>1.2254055450000001E-2</v>
      </c>
      <c r="I89" s="5">
        <v>-9.7410039640000008</v>
      </c>
      <c r="J89" s="5">
        <v>-1</v>
      </c>
      <c r="K89" s="4"/>
      <c r="AM89" s="2">
        <v>2.6771540269999998</v>
      </c>
      <c r="AN89" s="30"/>
      <c r="AO89" s="2">
        <v>0.73069104669999996</v>
      </c>
      <c r="AP89" s="2"/>
      <c r="AQ89" s="20">
        <f t="shared" si="10"/>
        <v>0.83936826555752075</v>
      </c>
      <c r="AR89" s="2"/>
      <c r="AS89" s="29">
        <f t="shared" si="17"/>
        <v>388.89307455098162</v>
      </c>
      <c r="AT89" s="2">
        <v>5.4455708749999998E-3</v>
      </c>
      <c r="AU89" s="2">
        <v>-8.4326002869999996</v>
      </c>
      <c r="AV89" s="2">
        <v>-0.6016252004</v>
      </c>
      <c r="CE89" s="2">
        <f t="shared" si="11"/>
        <v>2.4259136739999998</v>
      </c>
      <c r="CF89" s="19">
        <f t="shared" si="12"/>
        <v>2.6146429179999999</v>
      </c>
      <c r="CG89" s="2">
        <f t="shared" si="13"/>
        <v>352.3969923890852</v>
      </c>
      <c r="CH89" s="24">
        <f t="shared" si="14"/>
        <v>379.8124848174715</v>
      </c>
      <c r="CI89" s="2">
        <v>0.74907633159999998</v>
      </c>
      <c r="CJ89" s="20">
        <f t="shared" si="15"/>
        <v>0.86068062773751419</v>
      </c>
    </row>
    <row r="90" spans="1:88" x14ac:dyDescent="0.25">
      <c r="A90" s="5">
        <v>2.4259136739999998</v>
      </c>
      <c r="B90" s="6"/>
      <c r="C90" s="5">
        <v>0.75432914750000002</v>
      </c>
      <c r="D90" s="5"/>
      <c r="E90" s="10">
        <f t="shared" si="9"/>
        <v>0.86652211089225917</v>
      </c>
      <c r="F90" s="5"/>
      <c r="G90" s="21">
        <f t="shared" si="16"/>
        <v>352.3969923890852</v>
      </c>
      <c r="H90" s="2">
        <v>1.0628359570000001E-2</v>
      </c>
      <c r="I90" s="5">
        <v>-8.087436941</v>
      </c>
      <c r="J90" s="5">
        <v>-1</v>
      </c>
      <c r="K90" s="4"/>
      <c r="AM90" s="2">
        <v>2.6146429179999999</v>
      </c>
      <c r="AN90" s="30"/>
      <c r="AO90" s="2">
        <v>0.74907633159999998</v>
      </c>
      <c r="AP90" s="2"/>
      <c r="AQ90" s="20">
        <f t="shared" si="10"/>
        <v>0.86048803261637441</v>
      </c>
      <c r="AR90" s="2"/>
      <c r="AS90" s="29">
        <f t="shared" si="17"/>
        <v>379.8124848174715</v>
      </c>
      <c r="AT90" s="2">
        <v>4.7790795870000001E-3</v>
      </c>
      <c r="AU90" s="2">
        <v>-7.0128751490000001</v>
      </c>
      <c r="AV90" s="2">
        <v>-0.44208062850000002</v>
      </c>
      <c r="CE90" s="2">
        <f t="shared" si="11"/>
        <v>2.35083134</v>
      </c>
      <c r="CF90" s="19">
        <f t="shared" si="12"/>
        <v>2.5386600420000001</v>
      </c>
      <c r="CG90" s="2">
        <f t="shared" si="13"/>
        <v>341.49026105452549</v>
      </c>
      <c r="CH90" s="24">
        <f t="shared" si="14"/>
        <v>368.77493749563189</v>
      </c>
      <c r="CI90" s="2">
        <v>0.76636777590000005</v>
      </c>
      <c r="CJ90" s="20">
        <f t="shared" si="15"/>
        <v>0.8805483107850135</v>
      </c>
    </row>
    <row r="91" spans="1:88" x14ac:dyDescent="0.25">
      <c r="A91" s="5">
        <v>2.35083134</v>
      </c>
      <c r="B91" s="6"/>
      <c r="C91" s="5">
        <v>0.77089929150000003</v>
      </c>
      <c r="D91" s="5"/>
      <c r="E91" s="10">
        <f t="shared" si="9"/>
        <v>0.88555676732076305</v>
      </c>
      <c r="F91" s="5"/>
      <c r="G91" s="21">
        <f t="shared" si="16"/>
        <v>341.49026105452549</v>
      </c>
      <c r="H91" s="2">
        <v>9.1254092740000008E-3</v>
      </c>
      <c r="I91" s="5">
        <v>-6.6129433610000001</v>
      </c>
      <c r="J91" s="5">
        <v>0</v>
      </c>
      <c r="K91" s="4"/>
      <c r="AM91" s="2">
        <v>2.5386600420000001</v>
      </c>
      <c r="AN91" s="30"/>
      <c r="AO91" s="2">
        <v>0.76636777590000005</v>
      </c>
      <c r="AP91" s="2"/>
      <c r="AQ91" s="20">
        <f t="shared" si="10"/>
        <v>0.8803512698581939</v>
      </c>
      <c r="AR91" s="2"/>
      <c r="AS91" s="29">
        <f t="shared" si="17"/>
        <v>368.77493749563189</v>
      </c>
      <c r="AT91" s="2">
        <v>4.1526826720000003E-3</v>
      </c>
      <c r="AU91" s="2">
        <v>-5.7444480330000003</v>
      </c>
      <c r="AV91" s="2">
        <v>-0.31689662470000002</v>
      </c>
      <c r="CE91" s="2">
        <f t="shared" si="11"/>
        <v>2.26201455</v>
      </c>
      <c r="CF91" s="19">
        <f t="shared" si="12"/>
        <v>2.4478182030000002</v>
      </c>
      <c r="CG91" s="2">
        <f t="shared" si="13"/>
        <v>328.58841297761285</v>
      </c>
      <c r="CH91" s="24">
        <f t="shared" si="14"/>
        <v>355.57892347840209</v>
      </c>
      <c r="CI91" s="2">
        <v>0.78251798510000004</v>
      </c>
      <c r="CJ91" s="20">
        <f t="shared" si="15"/>
        <v>0.89910472700852162</v>
      </c>
    </row>
    <row r="92" spans="1:88" x14ac:dyDescent="0.25">
      <c r="A92" s="5">
        <v>2.26201455</v>
      </c>
      <c r="B92" s="6"/>
      <c r="C92" s="5">
        <v>0.78637580630000004</v>
      </c>
      <c r="D92" s="5"/>
      <c r="E92" s="10">
        <f t="shared" si="9"/>
        <v>0.90333513677420019</v>
      </c>
      <c r="F92" s="5"/>
      <c r="G92" s="21">
        <f t="shared" si="16"/>
        <v>328.58841297761285</v>
      </c>
      <c r="H92" s="2">
        <v>7.7367499009999997E-3</v>
      </c>
      <c r="I92" s="5">
        <v>-5.3128608389999998</v>
      </c>
      <c r="J92" s="5">
        <v>0</v>
      </c>
      <c r="K92" s="4"/>
      <c r="AM92" s="2">
        <v>2.4478182030000002</v>
      </c>
      <c r="AN92" s="30"/>
      <c r="AO92" s="2">
        <v>0.78251798510000004</v>
      </c>
      <c r="AP92" s="2"/>
      <c r="AQ92" s="20">
        <f t="shared" si="10"/>
        <v>0.89890353369913956</v>
      </c>
      <c r="AR92" s="2"/>
      <c r="AS92" s="29">
        <f t="shared" si="17"/>
        <v>355.57892347840209</v>
      </c>
      <c r="AT92" s="2">
        <v>3.5634593310000001E-3</v>
      </c>
      <c r="AU92" s="2">
        <v>-4.6236843040000002</v>
      </c>
      <c r="AV92" s="2">
        <v>-0.22077884119999999</v>
      </c>
      <c r="CE92" s="2">
        <f t="shared" si="11"/>
        <v>2.1584151579999999</v>
      </c>
      <c r="CF92" s="19">
        <f t="shared" si="12"/>
        <v>2.3407883790000001</v>
      </c>
      <c r="CG92" s="2">
        <f t="shared" si="13"/>
        <v>313.53919068029137</v>
      </c>
      <c r="CH92" s="24">
        <f t="shared" si="14"/>
        <v>340.03138422431851</v>
      </c>
      <c r="CI92" s="2">
        <v>0.79748269260000004</v>
      </c>
      <c r="CJ92" s="20">
        <f t="shared" si="15"/>
        <v>0.91629901456196416</v>
      </c>
    </row>
    <row r="93" spans="1:88" x14ac:dyDescent="0.25">
      <c r="A93" s="5">
        <v>2.1584151579999999</v>
      </c>
      <c r="B93" s="6"/>
      <c r="C93" s="5">
        <v>0.80071627170000004</v>
      </c>
      <c r="D93" s="5"/>
      <c r="E93" s="10">
        <f t="shared" si="9"/>
        <v>0.91980848980685015</v>
      </c>
      <c r="F93" s="5"/>
      <c r="G93" s="21">
        <f t="shared" si="16"/>
        <v>313.53919068029137</v>
      </c>
      <c r="H93" s="2">
        <v>6.4567532950000001E-3</v>
      </c>
      <c r="I93" s="5">
        <v>-4.1813595939999999</v>
      </c>
      <c r="J93" s="5">
        <v>0</v>
      </c>
      <c r="K93" s="4"/>
      <c r="AM93" s="2">
        <v>2.3407883790000001</v>
      </c>
      <c r="AN93" s="30"/>
      <c r="AO93" s="2">
        <v>0.79748269260000004</v>
      </c>
      <c r="AP93" s="2"/>
      <c r="AQ93" s="20">
        <f t="shared" si="10"/>
        <v>0.91609397367452872</v>
      </c>
      <c r="AR93" s="2"/>
      <c r="AS93" s="29">
        <f t="shared" si="17"/>
        <v>340.03138422431851</v>
      </c>
      <c r="AT93" s="2">
        <v>3.010034222E-3</v>
      </c>
      <c r="AU93" s="2">
        <v>-3.6460210910000002</v>
      </c>
      <c r="AV93" s="2">
        <v>-0.14879674079999999</v>
      </c>
      <c r="CE93" s="2">
        <f t="shared" si="11"/>
        <v>2.0391083619999999</v>
      </c>
      <c r="CF93" s="19">
        <f t="shared" si="12"/>
        <v>2.2163718459999999</v>
      </c>
      <c r="CG93" s="2">
        <f t="shared" si="13"/>
        <v>296.20825407995699</v>
      </c>
      <c r="CH93" s="24">
        <f t="shared" si="14"/>
        <v>321.95818875055517</v>
      </c>
      <c r="CI93" s="2">
        <v>0.81122088110000001</v>
      </c>
      <c r="CJ93" s="20">
        <f t="shared" si="15"/>
        <v>0.93208404500992958</v>
      </c>
    </row>
    <row r="94" spans="1:88" x14ac:dyDescent="0.25">
      <c r="A94" s="5">
        <v>2.0391083619999999</v>
      </c>
      <c r="B94" s="6"/>
      <c r="C94" s="5">
        <v>0.8138813815</v>
      </c>
      <c r="D94" s="5"/>
      <c r="E94" s="10">
        <f t="shared" si="9"/>
        <v>0.93493167412477329</v>
      </c>
      <c r="F94" s="5"/>
      <c r="G94" s="21">
        <f t="shared" si="16"/>
        <v>296.20825407995699</v>
      </c>
      <c r="H94" s="2">
        <v>5.2825498620000001E-3</v>
      </c>
      <c r="I94" s="5">
        <v>-3.211439747</v>
      </c>
      <c r="J94" s="5">
        <v>0</v>
      </c>
      <c r="K94" s="4"/>
      <c r="AM94" s="2">
        <v>2.2163718459999999</v>
      </c>
      <c r="AN94" s="30"/>
      <c r="AO94" s="2">
        <v>0.81122088110000001</v>
      </c>
      <c r="AP94" s="2"/>
      <c r="AQ94" s="20">
        <f t="shared" si="10"/>
        <v>0.9318754718949136</v>
      </c>
      <c r="AR94" s="2"/>
      <c r="AS94" s="29">
        <f t="shared" si="17"/>
        <v>321.95818875055517</v>
      </c>
      <c r="AT94" s="2">
        <v>2.4925209639999999E-3</v>
      </c>
      <c r="AU94" s="2">
        <v>-2.8059425779999998</v>
      </c>
      <c r="AV94" s="2">
        <v>-9.6435178869999999E-2</v>
      </c>
      <c r="CE94" s="2">
        <f t="shared" si="11"/>
        <v>1.9033442739999999</v>
      </c>
      <c r="CF94" s="19">
        <f t="shared" si="12"/>
        <v>2.0735755739999999</v>
      </c>
      <c r="CG94" s="2">
        <f t="shared" si="13"/>
        <v>276.4866717341348</v>
      </c>
      <c r="CH94" s="24">
        <f t="shared" si="14"/>
        <v>301.21508592851558</v>
      </c>
      <c r="CI94" s="2">
        <v>0.82369489520000005</v>
      </c>
      <c r="CJ94" s="20">
        <f t="shared" si="15"/>
        <v>0.94641655270385527</v>
      </c>
    </row>
    <row r="95" spans="1:88" x14ac:dyDescent="0.25">
      <c r="A95" s="5">
        <v>1.9033442739999999</v>
      </c>
      <c r="B95" s="6"/>
      <c r="C95" s="5">
        <v>0.82583505099999999</v>
      </c>
      <c r="D95" s="5"/>
      <c r="E95" s="10">
        <f t="shared" si="9"/>
        <v>0.94866323807451236</v>
      </c>
      <c r="F95" s="5"/>
      <c r="G95" s="21">
        <f t="shared" si="16"/>
        <v>276.4866717341348</v>
      </c>
      <c r="H95" s="2">
        <v>4.2139269789999998E-3</v>
      </c>
      <c r="I95" s="5">
        <v>-2.3949239009999999</v>
      </c>
      <c r="J95" s="5">
        <v>0</v>
      </c>
      <c r="K95" s="4"/>
      <c r="M95" s="4"/>
      <c r="AM95" s="2">
        <v>2.0735755739999999</v>
      </c>
      <c r="AN95" s="30"/>
      <c r="AO95" s="2">
        <v>0.82369489520000005</v>
      </c>
      <c r="AP95" s="2"/>
      <c r="AQ95" s="20">
        <f t="shared" si="10"/>
        <v>0.9462047723933168</v>
      </c>
      <c r="AR95" s="2"/>
      <c r="AS95" s="29">
        <f t="shared" si="17"/>
        <v>301.21508592851558</v>
      </c>
      <c r="AT95" s="2">
        <v>2.012442685E-3</v>
      </c>
      <c r="AU95" s="2">
        <v>-2.0969440659999998</v>
      </c>
      <c r="AV95" s="2">
        <v>-5.9634994439999998E-2</v>
      </c>
      <c r="CE95" s="2">
        <f t="shared" si="11"/>
        <v>1.750595254</v>
      </c>
      <c r="CF95" s="19">
        <f t="shared" si="12"/>
        <v>1.911683161</v>
      </c>
      <c r="CG95" s="2">
        <f t="shared" si="13"/>
        <v>254.2977967484785</v>
      </c>
      <c r="CH95" s="24">
        <f t="shared" si="14"/>
        <v>277.6980086131702</v>
      </c>
      <c r="CI95" s="2">
        <v>0.83487054459999999</v>
      </c>
      <c r="CJ95" s="20">
        <f t="shared" si="15"/>
        <v>0.95925725335771417</v>
      </c>
    </row>
    <row r="96" spans="1:88" x14ac:dyDescent="0.25">
      <c r="A96" s="5">
        <v>1.750595254</v>
      </c>
      <c r="B96" s="6"/>
      <c r="C96" s="5">
        <v>0.83654451620000003</v>
      </c>
      <c r="D96" s="6"/>
      <c r="E96" s="10">
        <f t="shared" si="9"/>
        <v>0.96096554459731742</v>
      </c>
      <c r="F96" s="5"/>
      <c r="G96" s="21">
        <f t="shared" si="16"/>
        <v>254.2977967484785</v>
      </c>
      <c r="H96" s="2">
        <v>3.2531891729999998E-3</v>
      </c>
      <c r="I96" s="5">
        <v>-1.7224478080000001</v>
      </c>
      <c r="J96" s="5">
        <v>0</v>
      </c>
      <c r="M96" s="4"/>
      <c r="AM96" s="2">
        <v>1.911683161</v>
      </c>
      <c r="AN96" s="30"/>
      <c r="AO96" s="2">
        <v>0.83487054459999999</v>
      </c>
      <c r="AP96" s="30"/>
      <c r="AQ96" s="20">
        <f t="shared" si="10"/>
        <v>0.95904259967438421</v>
      </c>
      <c r="AR96" s="2"/>
      <c r="AS96" s="29">
        <f t="shared" si="17"/>
        <v>277.6980086131702</v>
      </c>
      <c r="AT96" s="2">
        <v>1.572630698E-3</v>
      </c>
      <c r="AU96" s="2">
        <v>-1.5114900229999999</v>
      </c>
      <c r="AV96" s="2">
        <v>-3.4821981000000002E-2</v>
      </c>
      <c r="CE96" s="2">
        <f t="shared" si="11"/>
        <v>1.5805943099999999</v>
      </c>
      <c r="CF96" s="19">
        <f t="shared" si="12"/>
        <v>1.7303138549999999</v>
      </c>
      <c r="CG96" s="2">
        <f t="shared" si="13"/>
        <v>229.60284489962498</v>
      </c>
      <c r="CH96" s="24">
        <f t="shared" si="14"/>
        <v>251.35164739219968</v>
      </c>
      <c r="CI96" s="2">
        <v>0.84471719749999996</v>
      </c>
      <c r="CJ96" s="20">
        <f t="shared" si="15"/>
        <v>0.97057095136360827</v>
      </c>
    </row>
    <row r="97" spans="1:88" x14ac:dyDescent="0.25">
      <c r="A97" s="5">
        <v>1.5805943099999999</v>
      </c>
      <c r="B97" s="5"/>
      <c r="C97" s="5">
        <v>0.84598042299999998</v>
      </c>
      <c r="D97" s="6"/>
      <c r="E97" s="10">
        <f t="shared" si="9"/>
        <v>0.97180487369604962</v>
      </c>
      <c r="F97" s="5"/>
      <c r="G97" s="21">
        <f t="shared" si="16"/>
        <v>229.60284489962498</v>
      </c>
      <c r="H97" s="2">
        <v>2.4049556469999999E-3</v>
      </c>
      <c r="I97" s="5">
        <v>-1.183451475</v>
      </c>
      <c r="J97" s="5">
        <v>0</v>
      </c>
      <c r="M97" s="4"/>
      <c r="AM97" s="2">
        <v>1.7303138549999999</v>
      </c>
      <c r="AN97" s="2"/>
      <c r="AO97" s="2">
        <v>0.84471719749999996</v>
      </c>
      <c r="AP97" s="30"/>
      <c r="AQ97" s="20">
        <f t="shared" si="10"/>
        <v>0.97035376600596401</v>
      </c>
      <c r="AR97" s="2"/>
      <c r="AS97" s="29">
        <f t="shared" si="17"/>
        <v>251.35164739219968</v>
      </c>
      <c r="AT97" s="2">
        <v>1.1770951259999999E-3</v>
      </c>
      <c r="AU97" s="2">
        <v>-1.0409720419999999</v>
      </c>
      <c r="AV97" s="2">
        <v>-1.8923586839999999E-2</v>
      </c>
      <c r="CE97" s="2">
        <f t="shared" si="11"/>
        <v>1.393363012</v>
      </c>
      <c r="CF97" s="19">
        <f t="shared" si="12"/>
        <v>1.529464121</v>
      </c>
      <c r="CG97" s="2">
        <f t="shared" si="13"/>
        <v>202.40494952377142</v>
      </c>
      <c r="CH97" s="24">
        <f t="shared" si="14"/>
        <v>222.17548875872154</v>
      </c>
      <c r="CI97" s="2">
        <v>0.8532078649</v>
      </c>
      <c r="CJ97" s="20">
        <f t="shared" si="15"/>
        <v>0.98032663665155939</v>
      </c>
    </row>
    <row r="98" spans="1:88" x14ac:dyDescent="0.25">
      <c r="A98" s="5">
        <v>1.393363012</v>
      </c>
      <c r="B98" s="5"/>
      <c r="C98" s="5">
        <v>0.85411690829999998</v>
      </c>
      <c r="D98" s="6"/>
      <c r="E98" s="10">
        <f t="shared" si="9"/>
        <v>0.98115151559735547</v>
      </c>
      <c r="F98" s="5"/>
      <c r="G98" s="21">
        <f t="shared" si="16"/>
        <v>202.40494952377142</v>
      </c>
      <c r="H98" s="2">
        <v>1.6758358589999999E-3</v>
      </c>
      <c r="I98" s="5">
        <v>-0.76617174789999998</v>
      </c>
      <c r="J98" s="5">
        <v>0</v>
      </c>
      <c r="M98" s="4"/>
      <c r="AM98" s="2">
        <v>1.529464121</v>
      </c>
      <c r="AN98" s="2"/>
      <c r="AO98" s="2">
        <v>0.8532078649</v>
      </c>
      <c r="AP98" s="30"/>
      <c r="AQ98" s="20">
        <f t="shared" si="10"/>
        <v>0.98010726825722383</v>
      </c>
      <c r="AR98" s="2"/>
      <c r="AS98" s="29">
        <f t="shared" si="17"/>
        <v>222.17548875872154</v>
      </c>
      <c r="AT98" s="2">
        <v>8.3084468669999999E-4</v>
      </c>
      <c r="AU98" s="2">
        <v>-0.67567170860000003</v>
      </c>
      <c r="AV98" s="2">
        <v>-9.3727233770000001E-3</v>
      </c>
      <c r="CE98" s="2">
        <f t="shared" si="11"/>
        <v>1.1892585449999999</v>
      </c>
      <c r="CF98" s="19">
        <f t="shared" si="12"/>
        <v>1.30953776</v>
      </c>
      <c r="CG98" s="2">
        <f t="shared" si="13"/>
        <v>172.75599660559874</v>
      </c>
      <c r="CH98" s="24">
        <f t="shared" si="14"/>
        <v>190.22819030614016</v>
      </c>
      <c r="CI98" s="2">
        <v>0.86031927460000002</v>
      </c>
      <c r="CJ98" s="20">
        <f t="shared" si="15"/>
        <v>0.98849756971471081</v>
      </c>
    </row>
    <row r="99" spans="1:88" x14ac:dyDescent="0.25">
      <c r="A99" s="5">
        <v>1.1892585449999999</v>
      </c>
      <c r="B99" s="5"/>
      <c r="C99" s="5">
        <v>0.86093167059999998</v>
      </c>
      <c r="D99" s="6"/>
      <c r="E99" s="10">
        <f t="shared" si="9"/>
        <v>0.98897985185215331</v>
      </c>
      <c r="F99" s="5"/>
      <c r="G99" s="21">
        <f t="shared" si="16"/>
        <v>172.75599660559874</v>
      </c>
      <c r="H99" s="2">
        <v>1.0738501770000001E-3</v>
      </c>
      <c r="I99" s="5">
        <v>-0.45763457959999998</v>
      </c>
      <c r="J99" s="5">
        <v>0</v>
      </c>
      <c r="M99" s="4"/>
      <c r="AM99" s="2">
        <v>1.30953776</v>
      </c>
      <c r="AN99" s="2"/>
      <c r="AO99" s="2">
        <v>0.86031927460000002</v>
      </c>
      <c r="AP99" s="30"/>
      <c r="AQ99" s="20">
        <f t="shared" si="10"/>
        <v>0.98827637290482562</v>
      </c>
      <c r="AR99" s="2"/>
      <c r="AS99" s="29">
        <f t="shared" si="17"/>
        <v>190.22819030614016</v>
      </c>
      <c r="AT99" s="2">
        <v>5.396032781E-4</v>
      </c>
      <c r="AU99" s="2">
        <v>-0.40473103560000001</v>
      </c>
      <c r="AV99" s="2">
        <v>-4.0981680289999996E-3</v>
      </c>
      <c r="CE99" s="2">
        <f t="shared" si="11"/>
        <v>0.96933951039999999</v>
      </c>
      <c r="CF99" s="19">
        <f t="shared" si="12"/>
        <v>1.0714950080000001</v>
      </c>
      <c r="CG99" s="2">
        <f t="shared" si="13"/>
        <v>140.80976241237363</v>
      </c>
      <c r="CH99" s="24">
        <f t="shared" si="14"/>
        <v>155.64923938802895</v>
      </c>
      <c r="CI99" s="2">
        <v>0.86603193460000005</v>
      </c>
      <c r="CJ99" s="20">
        <f t="shared" si="15"/>
        <v>0.99506135445524446</v>
      </c>
    </row>
    <row r="100" spans="1:88" x14ac:dyDescent="0.25">
      <c r="A100" s="5">
        <v>0.96933951039999999</v>
      </c>
      <c r="B100" s="5"/>
      <c r="C100" s="5">
        <v>0.86640603100000002</v>
      </c>
      <c r="D100" s="6"/>
      <c r="E100" s="10">
        <f t="shared" si="9"/>
        <v>0.99526842540829186</v>
      </c>
      <c r="F100" s="5"/>
      <c r="G100" s="21">
        <f t="shared" si="16"/>
        <v>140.80976241237363</v>
      </c>
      <c r="H100" s="2">
        <v>6.0722057670000004E-4</v>
      </c>
      <c r="I100" s="5">
        <v>-0.24363597300000001</v>
      </c>
      <c r="J100" s="5">
        <v>0</v>
      </c>
      <c r="M100" s="4"/>
      <c r="AM100" s="2">
        <v>1.0714950080000001</v>
      </c>
      <c r="AN100" s="2"/>
      <c r="AO100" s="2">
        <v>0.86603193460000005</v>
      </c>
      <c r="AP100" s="30"/>
      <c r="AQ100" s="20">
        <f t="shared" si="10"/>
        <v>0.9948386888625419</v>
      </c>
      <c r="AR100" s="2"/>
      <c r="AS100" s="29">
        <f t="shared" si="17"/>
        <v>155.64923938802895</v>
      </c>
      <c r="AT100" s="2">
        <v>3.0929960719999999E-4</v>
      </c>
      <c r="AU100" s="2">
        <v>-0.21612833109999999</v>
      </c>
      <c r="AV100" s="2">
        <v>-1.50123903E-3</v>
      </c>
      <c r="CE100" s="2">
        <f t="shared" si="11"/>
        <v>0.73780567409999998</v>
      </c>
      <c r="CF100" s="19">
        <f t="shared" si="12"/>
        <v>0.81838046040000001</v>
      </c>
      <c r="CG100" s="2">
        <f t="shared" si="13"/>
        <v>107.17632012508355</v>
      </c>
      <c r="CH100" s="24">
        <f t="shared" si="14"/>
        <v>118.88090494144882</v>
      </c>
      <c r="CI100" s="2">
        <v>0.87033018689999997</v>
      </c>
      <c r="CJ100" s="20">
        <f t="shared" si="15"/>
        <v>1</v>
      </c>
    </row>
    <row r="101" spans="1:88" x14ac:dyDescent="0.25">
      <c r="A101" s="5">
        <v>0.73780567409999998</v>
      </c>
      <c r="B101" s="5"/>
      <c r="C101" s="5">
        <v>0.87052498489999997</v>
      </c>
      <c r="D101" s="6"/>
      <c r="E101" s="10">
        <f t="shared" si="9"/>
        <v>1</v>
      </c>
      <c r="F101" s="5"/>
      <c r="G101" s="21">
        <f t="shared" si="16"/>
        <v>107.17632012508355</v>
      </c>
      <c r="H101" s="2">
        <v>2.8147997920000001E-4</v>
      </c>
      <c r="I101" s="5">
        <v>-0.1086602082</v>
      </c>
      <c r="J101" s="5">
        <v>0</v>
      </c>
      <c r="M101" s="4"/>
      <c r="AM101" s="2">
        <v>0.81838046040000001</v>
      </c>
      <c r="AN101" s="2"/>
      <c r="AO101" s="2">
        <v>0.87033018689999997</v>
      </c>
      <c r="AP101" s="30"/>
      <c r="AQ101" s="20">
        <f t="shared" si="10"/>
        <v>0.99977622928304311</v>
      </c>
      <c r="AR101" s="2"/>
      <c r="AS101" s="29">
        <f t="shared" si="17"/>
        <v>118.88090494144882</v>
      </c>
      <c r="AT101" s="2">
        <v>1.449238479E-4</v>
      </c>
      <c r="AU101" s="2">
        <v>-9.6638669120000006E-2</v>
      </c>
      <c r="AV101" s="2">
        <v>-4.1867633389999998E-4</v>
      </c>
      <c r="CE101" s="2">
        <f t="shared" si="11"/>
        <v>0.50558190339999998</v>
      </c>
      <c r="CF101" s="19">
        <f t="shared" si="12"/>
        <v>0.56093609430000002</v>
      </c>
      <c r="CG101" s="2">
        <f t="shared" si="13"/>
        <v>73.442655472046695</v>
      </c>
      <c r="CH101" s="24">
        <f t="shared" si="14"/>
        <v>81.483605402934998</v>
      </c>
      <c r="CI101" s="2">
        <v>0.87320225039999999</v>
      </c>
      <c r="CJ101" s="20">
        <f t="shared" si="15"/>
        <v>1.003299969992113</v>
      </c>
    </row>
    <row r="102" spans="1:88" x14ac:dyDescent="0.25">
      <c r="A102" s="5">
        <v>0.50558190339999998</v>
      </c>
      <c r="B102" s="5"/>
      <c r="C102" s="5">
        <v>0.87327724220000003</v>
      </c>
      <c r="D102" s="6"/>
      <c r="E102" s="10">
        <f t="shared" si="9"/>
        <v>1.003161606326918</v>
      </c>
      <c r="F102" s="5"/>
      <c r="G102" s="21">
        <f t="shared" si="16"/>
        <v>73.442655472046695</v>
      </c>
      <c r="H102" s="45">
        <v>9.3399999999999993E-5</v>
      </c>
      <c r="I102" s="5">
        <v>-3.5597000500000003E-2</v>
      </c>
      <c r="J102" s="8">
        <v>-8.0900000000000001E-5</v>
      </c>
      <c r="M102" s="4"/>
      <c r="AM102" s="2">
        <v>0.56093609430000002</v>
      </c>
      <c r="AN102" s="2"/>
      <c r="AO102" s="2">
        <v>0.87320225039999999</v>
      </c>
      <c r="AP102" s="30"/>
      <c r="AQ102" s="20">
        <f t="shared" si="10"/>
        <v>1.0030754608385049</v>
      </c>
      <c r="AR102" s="2"/>
      <c r="AS102" s="29">
        <f t="shared" si="17"/>
        <v>81.483605402934998</v>
      </c>
      <c r="AT102" s="45">
        <v>4.7700000000000001E-5</v>
      </c>
      <c r="AU102" s="2">
        <v>-3.1677101780000001E-2</v>
      </c>
      <c r="AV102" s="45">
        <v>-7.2000000000000002E-5</v>
      </c>
      <c r="CE102" s="2">
        <f t="shared" si="11"/>
        <v>0.29104471139999999</v>
      </c>
      <c r="CF102" s="19">
        <f t="shared" si="12"/>
        <v>0.32297433450000002</v>
      </c>
      <c r="CG102" s="2">
        <f t="shared" si="13"/>
        <v>42.278207195640427</v>
      </c>
      <c r="CH102" s="24">
        <f t="shared" si="14"/>
        <v>46.916419704663561</v>
      </c>
      <c r="CI102" s="2">
        <v>0.87464025290000003</v>
      </c>
      <c r="CJ102" s="20">
        <f t="shared" si="15"/>
        <v>1.0049522193586689</v>
      </c>
    </row>
    <row r="103" spans="1:88" x14ac:dyDescent="0.25">
      <c r="A103" s="5">
        <v>0.29104471139999999</v>
      </c>
      <c r="B103" s="5"/>
      <c r="C103" s="5">
        <v>0.8746552595</v>
      </c>
      <c r="D103" s="6"/>
      <c r="E103" s="10">
        <f t="shared" si="9"/>
        <v>1.0047445790432707</v>
      </c>
      <c r="F103" s="5"/>
      <c r="G103" s="21">
        <f t="shared" si="16"/>
        <v>42.278207195640427</v>
      </c>
      <c r="H103" s="26">
        <v>1.8099999999999999E-5</v>
      </c>
      <c r="I103" s="5">
        <v>-5.7301330209999996E-3</v>
      </c>
      <c r="J103" s="8">
        <v>-4.1200000000000004E-6</v>
      </c>
      <c r="AM103" s="2">
        <v>0.32297433450000002</v>
      </c>
      <c r="AN103" s="2"/>
      <c r="AO103" s="2">
        <v>0.87464025290000003</v>
      </c>
      <c r="AP103" s="30"/>
      <c r="AQ103" s="20">
        <f t="shared" si="10"/>
        <v>1.0047273404800354</v>
      </c>
      <c r="AR103" s="2"/>
      <c r="AS103" s="29">
        <f t="shared" si="17"/>
        <v>46.916419704663561</v>
      </c>
      <c r="AT103" s="45">
        <v>8.4600000000000003E-6</v>
      </c>
      <c r="AU103" s="2">
        <v>-5.0894990470000002E-3</v>
      </c>
      <c r="AV103" s="45">
        <v>-3.6600000000000001E-6</v>
      </c>
      <c r="CE103" s="2">
        <f t="shared" si="11"/>
        <v>0</v>
      </c>
      <c r="CF103" s="19">
        <f t="shared" si="12"/>
        <v>0</v>
      </c>
      <c r="CG103" s="2">
        <f t="shared" si="13"/>
        <v>0</v>
      </c>
      <c r="CH103" s="24">
        <f t="shared" si="14"/>
        <v>0</v>
      </c>
      <c r="CI103" s="2"/>
      <c r="CJ103" s="20">
        <f t="shared" si="15"/>
        <v>0</v>
      </c>
    </row>
    <row r="104" spans="1:88" x14ac:dyDescent="0.25">
      <c r="A104" s="5"/>
      <c r="B104" s="5"/>
      <c r="C104" s="5"/>
      <c r="D104" s="5"/>
      <c r="E104" s="10">
        <f t="shared" si="9"/>
        <v>0</v>
      </c>
      <c r="F104" s="5"/>
      <c r="G104" s="21">
        <f t="shared" si="16"/>
        <v>0</v>
      </c>
      <c r="H104" s="2"/>
      <c r="I104" s="5"/>
      <c r="J104" s="5"/>
      <c r="AM104" s="2"/>
      <c r="AN104" s="2"/>
      <c r="AO104" s="2"/>
      <c r="AP104" s="2"/>
      <c r="AQ104" s="20">
        <f t="shared" si="10"/>
        <v>0</v>
      </c>
      <c r="AR104" s="2"/>
      <c r="AS104" s="29">
        <f t="shared" si="17"/>
        <v>0</v>
      </c>
      <c r="AT104" s="2"/>
      <c r="AU104" s="2"/>
      <c r="AV104" s="2"/>
      <c r="CE104" s="2">
        <f t="shared" si="11"/>
        <v>0</v>
      </c>
      <c r="CF104" s="19">
        <f t="shared" si="12"/>
        <v>0</v>
      </c>
      <c r="CG104" s="2">
        <f t="shared" si="13"/>
        <v>0</v>
      </c>
      <c r="CH104" s="24">
        <f t="shared" si="14"/>
        <v>0</v>
      </c>
      <c r="CI104" s="2"/>
      <c r="CJ104" s="20">
        <f t="shared" si="15"/>
        <v>0</v>
      </c>
    </row>
    <row r="105" spans="1:88" x14ac:dyDescent="0.25">
      <c r="A105" s="5"/>
      <c r="B105" s="5"/>
      <c r="C105" s="5"/>
      <c r="D105" s="5"/>
      <c r="E105" s="10">
        <f t="shared" si="9"/>
        <v>0</v>
      </c>
      <c r="F105" s="5"/>
      <c r="G105" s="21">
        <f t="shared" si="16"/>
        <v>0</v>
      </c>
      <c r="H105" s="2"/>
      <c r="I105" s="5"/>
      <c r="J105" s="5"/>
      <c r="AM105" s="2"/>
      <c r="AN105" s="2"/>
      <c r="AO105" s="2"/>
      <c r="AP105" s="2"/>
      <c r="AQ105" s="20">
        <f t="shared" si="10"/>
        <v>0</v>
      </c>
      <c r="AR105" s="2"/>
      <c r="AS105" s="29">
        <f t="shared" si="17"/>
        <v>0</v>
      </c>
      <c r="AT105" s="2"/>
      <c r="AU105" s="2"/>
      <c r="AV105" s="2"/>
      <c r="CE105" s="2">
        <f t="shared" si="11"/>
        <v>0</v>
      </c>
      <c r="CF105" s="19">
        <f t="shared" si="12"/>
        <v>0</v>
      </c>
      <c r="CG105" s="2">
        <f t="shared" si="13"/>
        <v>0</v>
      </c>
      <c r="CH105" s="24">
        <f t="shared" si="14"/>
        <v>0</v>
      </c>
      <c r="CI105" s="2"/>
      <c r="CJ105" s="20">
        <f t="shared" si="15"/>
        <v>0</v>
      </c>
    </row>
    <row r="106" spans="1:88" x14ac:dyDescent="0.25">
      <c r="A106" s="5"/>
      <c r="B106" s="5"/>
      <c r="C106" s="5"/>
      <c r="D106" s="5"/>
      <c r="E106" s="10">
        <f t="shared" si="9"/>
        <v>0</v>
      </c>
      <c r="F106" s="5"/>
      <c r="G106" s="21">
        <f t="shared" si="16"/>
        <v>0</v>
      </c>
      <c r="H106" s="2"/>
      <c r="I106" s="5"/>
      <c r="J106" s="5"/>
      <c r="AM106" s="2"/>
      <c r="AN106" s="2"/>
      <c r="AO106" s="2"/>
      <c r="AP106" s="2"/>
      <c r="AQ106" s="20">
        <f t="shared" si="10"/>
        <v>0</v>
      </c>
      <c r="AR106" s="2"/>
      <c r="AS106" s="29">
        <f t="shared" si="17"/>
        <v>0</v>
      </c>
      <c r="AT106" s="2"/>
      <c r="AU106" s="2"/>
      <c r="AV106" s="2"/>
      <c r="CE106" s="2">
        <f t="shared" si="11"/>
        <v>0</v>
      </c>
      <c r="CF106" s="19">
        <f t="shared" si="12"/>
        <v>0</v>
      </c>
      <c r="CG106" s="2">
        <f t="shared" si="13"/>
        <v>0</v>
      </c>
      <c r="CH106" s="24">
        <f t="shared" si="14"/>
        <v>0</v>
      </c>
      <c r="CI106" s="2"/>
      <c r="CJ106" s="20">
        <f t="shared" si="15"/>
        <v>0</v>
      </c>
    </row>
    <row r="107" spans="1:88" x14ac:dyDescent="0.25">
      <c r="A107" s="5"/>
      <c r="B107" s="5"/>
      <c r="C107" s="5"/>
      <c r="D107" s="5"/>
      <c r="E107" s="10">
        <f t="shared" si="9"/>
        <v>0</v>
      </c>
      <c r="F107" s="5"/>
      <c r="G107" s="21">
        <f t="shared" si="16"/>
        <v>0</v>
      </c>
      <c r="H107" s="2"/>
      <c r="I107" s="5"/>
      <c r="J107" s="5"/>
      <c r="AM107" s="2"/>
      <c r="AN107" s="2"/>
      <c r="AO107" s="2"/>
      <c r="AP107" s="2"/>
      <c r="AQ107" s="20">
        <f t="shared" si="10"/>
        <v>0</v>
      </c>
      <c r="AR107" s="2"/>
      <c r="AS107" s="29">
        <f t="shared" si="17"/>
        <v>0</v>
      </c>
      <c r="AT107" s="2"/>
      <c r="AU107" s="2"/>
      <c r="AV107" s="2"/>
      <c r="CE107" s="2">
        <f t="shared" si="11"/>
        <v>0</v>
      </c>
      <c r="CF107" s="19">
        <f t="shared" si="12"/>
        <v>0</v>
      </c>
      <c r="CG107" s="2">
        <f t="shared" si="13"/>
        <v>0</v>
      </c>
      <c r="CH107" s="24">
        <f t="shared" si="14"/>
        <v>0</v>
      </c>
      <c r="CI107" s="2"/>
      <c r="CJ107" s="20">
        <f t="shared" si="15"/>
        <v>0</v>
      </c>
    </row>
    <row r="108" spans="1:88" x14ac:dyDescent="0.25">
      <c r="A108" s="5"/>
      <c r="B108" s="5"/>
      <c r="C108" s="5"/>
      <c r="D108" s="5"/>
      <c r="E108" s="10">
        <f t="shared" si="9"/>
        <v>0</v>
      </c>
      <c r="F108" s="5"/>
      <c r="G108" s="21">
        <f t="shared" si="16"/>
        <v>0</v>
      </c>
      <c r="H108" s="2"/>
      <c r="I108" s="5"/>
      <c r="J108" s="5"/>
      <c r="AM108" s="2"/>
      <c r="AN108" s="2"/>
      <c r="AO108" s="2"/>
      <c r="AP108" s="2"/>
      <c r="AQ108" s="20">
        <f t="shared" si="10"/>
        <v>0</v>
      </c>
      <c r="AR108" s="2"/>
      <c r="AS108" s="29">
        <f t="shared" si="17"/>
        <v>0</v>
      </c>
      <c r="AT108" s="2"/>
      <c r="AU108" s="2"/>
      <c r="AV108" s="2"/>
      <c r="CE108" s="2">
        <f t="shared" si="11"/>
        <v>0</v>
      </c>
      <c r="CF108" s="19">
        <f t="shared" si="12"/>
        <v>0</v>
      </c>
      <c r="CG108" s="2">
        <f t="shared" si="13"/>
        <v>0</v>
      </c>
      <c r="CH108" s="24">
        <f t="shared" si="14"/>
        <v>0</v>
      </c>
      <c r="CI108" s="2"/>
      <c r="CJ108" s="20">
        <f t="shared" si="15"/>
        <v>0</v>
      </c>
    </row>
    <row r="109" spans="1:88" x14ac:dyDescent="0.25">
      <c r="A109" s="5"/>
      <c r="B109" s="5"/>
      <c r="C109" s="5"/>
      <c r="D109" s="5"/>
      <c r="E109" s="10">
        <f t="shared" si="9"/>
        <v>0</v>
      </c>
      <c r="F109" s="5"/>
      <c r="G109" s="21">
        <f t="shared" si="16"/>
        <v>0</v>
      </c>
      <c r="H109" s="2"/>
      <c r="I109" s="5"/>
      <c r="J109" s="5"/>
      <c r="AM109" s="2"/>
      <c r="AN109" s="2"/>
      <c r="AO109" s="2"/>
      <c r="AP109" s="2"/>
      <c r="AQ109" s="20">
        <f t="shared" si="10"/>
        <v>0</v>
      </c>
      <c r="AR109" s="2"/>
      <c r="AS109" s="29">
        <f t="shared" si="17"/>
        <v>0</v>
      </c>
      <c r="AT109" s="2"/>
      <c r="AU109" s="2"/>
      <c r="AV109" s="2"/>
      <c r="CE109" s="2">
        <f t="shared" si="11"/>
        <v>0</v>
      </c>
      <c r="CF109" s="19">
        <f t="shared" si="12"/>
        <v>0</v>
      </c>
      <c r="CG109" s="2">
        <f t="shared" si="13"/>
        <v>0</v>
      </c>
      <c r="CH109" s="24">
        <f t="shared" si="14"/>
        <v>0</v>
      </c>
      <c r="CI109" s="2"/>
      <c r="CJ109" s="20">
        <f t="shared" si="15"/>
        <v>0</v>
      </c>
    </row>
    <row r="110" spans="1:88" x14ac:dyDescent="0.25">
      <c r="A110" s="5"/>
      <c r="B110" s="5"/>
      <c r="C110" s="5"/>
      <c r="D110" s="5"/>
      <c r="E110" s="10">
        <f t="shared" si="9"/>
        <v>0</v>
      </c>
      <c r="F110" s="5"/>
      <c r="G110" s="21">
        <f t="shared" si="16"/>
        <v>0</v>
      </c>
      <c r="H110" s="2"/>
      <c r="I110" s="5"/>
      <c r="J110" s="5"/>
      <c r="AM110" s="2"/>
      <c r="AN110" s="2"/>
      <c r="AO110" s="2"/>
      <c r="AP110" s="2"/>
      <c r="AQ110" s="20">
        <f t="shared" si="10"/>
        <v>0</v>
      </c>
      <c r="AR110" s="2"/>
      <c r="AS110" s="29">
        <f t="shared" si="17"/>
        <v>0</v>
      </c>
      <c r="AT110" s="2"/>
      <c r="AU110" s="2"/>
      <c r="AV110" s="2"/>
      <c r="CE110" s="2">
        <f t="shared" si="11"/>
        <v>0</v>
      </c>
      <c r="CF110" s="19">
        <f t="shared" si="12"/>
        <v>0</v>
      </c>
      <c r="CG110" s="2">
        <f t="shared" si="13"/>
        <v>0</v>
      </c>
      <c r="CH110" s="24">
        <f t="shared" si="14"/>
        <v>0</v>
      </c>
      <c r="CI110" s="2"/>
      <c r="CJ110" s="20">
        <f t="shared" si="15"/>
        <v>0</v>
      </c>
    </row>
    <row r="111" spans="1:88" x14ac:dyDescent="0.25">
      <c r="A111" s="5"/>
      <c r="B111" s="5"/>
      <c r="C111" s="5"/>
      <c r="D111" s="5"/>
      <c r="E111" s="10">
        <f t="shared" si="9"/>
        <v>0</v>
      </c>
      <c r="F111" s="5"/>
      <c r="G111" s="21">
        <f t="shared" si="16"/>
        <v>0</v>
      </c>
      <c r="H111" s="2"/>
      <c r="I111" s="5"/>
      <c r="J111" s="5"/>
      <c r="AM111" s="2"/>
      <c r="AN111" s="2"/>
      <c r="AO111" s="2"/>
      <c r="AP111" s="2"/>
      <c r="AQ111" s="20">
        <f t="shared" si="10"/>
        <v>0</v>
      </c>
      <c r="AR111" s="2"/>
      <c r="AS111" s="29">
        <f t="shared" si="17"/>
        <v>0</v>
      </c>
      <c r="AT111" s="2"/>
      <c r="AU111" s="2"/>
      <c r="AV111" s="2"/>
      <c r="CE111" s="2">
        <f t="shared" si="11"/>
        <v>0</v>
      </c>
      <c r="CF111" s="19">
        <f t="shared" si="12"/>
        <v>0</v>
      </c>
      <c r="CG111" s="2">
        <f t="shared" si="13"/>
        <v>0</v>
      </c>
      <c r="CH111" s="24">
        <f t="shared" si="14"/>
        <v>0</v>
      </c>
      <c r="CI111" s="2"/>
      <c r="CJ111" s="20">
        <f t="shared" si="15"/>
        <v>0</v>
      </c>
    </row>
    <row r="112" spans="1:88" x14ac:dyDescent="0.25">
      <c r="A112" s="5"/>
      <c r="B112" s="5"/>
      <c r="C112" s="5"/>
      <c r="D112" s="5"/>
      <c r="E112" s="10">
        <f t="shared" si="9"/>
        <v>0</v>
      </c>
      <c r="F112" s="5"/>
      <c r="G112" s="21">
        <f t="shared" si="16"/>
        <v>0</v>
      </c>
      <c r="H112" s="2"/>
      <c r="I112" s="5"/>
      <c r="J112" s="5"/>
      <c r="AM112" s="2"/>
      <c r="AN112" s="2"/>
      <c r="AO112" s="2"/>
      <c r="AP112" s="2"/>
      <c r="AQ112" s="20">
        <f t="shared" si="10"/>
        <v>0</v>
      </c>
      <c r="AR112" s="2"/>
      <c r="AS112" s="29">
        <f t="shared" si="17"/>
        <v>0</v>
      </c>
      <c r="AT112" s="2"/>
      <c r="AU112" s="2"/>
      <c r="AV112" s="2"/>
      <c r="CE112" s="2">
        <f t="shared" si="11"/>
        <v>0</v>
      </c>
      <c r="CF112" s="19">
        <f t="shared" si="12"/>
        <v>0</v>
      </c>
      <c r="CG112" s="2">
        <f t="shared" si="13"/>
        <v>0</v>
      </c>
      <c r="CH112" s="24">
        <f t="shared" si="14"/>
        <v>0</v>
      </c>
      <c r="CI112" s="2"/>
      <c r="CJ112" s="20">
        <f t="shared" si="15"/>
        <v>0</v>
      </c>
    </row>
    <row r="113" spans="1:88" x14ac:dyDescent="0.25">
      <c r="A113" s="5"/>
      <c r="B113" s="5"/>
      <c r="C113" s="5"/>
      <c r="D113" s="5"/>
      <c r="E113" s="10">
        <f t="shared" si="9"/>
        <v>0</v>
      </c>
      <c r="F113" s="5"/>
      <c r="G113" s="21">
        <f t="shared" si="16"/>
        <v>0</v>
      </c>
      <c r="H113" s="2"/>
      <c r="I113" s="5"/>
      <c r="J113" s="5"/>
      <c r="AM113" s="2"/>
      <c r="AN113" s="2"/>
      <c r="AO113" s="2"/>
      <c r="AP113" s="2"/>
      <c r="AQ113" s="20">
        <f t="shared" si="10"/>
        <v>0</v>
      </c>
      <c r="AR113" s="2"/>
      <c r="AS113" s="29">
        <f t="shared" si="17"/>
        <v>0</v>
      </c>
      <c r="AT113" s="2"/>
      <c r="AU113" s="2"/>
      <c r="AV113" s="2"/>
      <c r="CE113" s="2">
        <f t="shared" si="11"/>
        <v>0</v>
      </c>
      <c r="CF113" s="19">
        <f t="shared" si="12"/>
        <v>0</v>
      </c>
      <c r="CG113" s="2">
        <f t="shared" si="13"/>
        <v>0</v>
      </c>
      <c r="CH113" s="24">
        <f t="shared" si="14"/>
        <v>0</v>
      </c>
      <c r="CI113" s="2"/>
      <c r="CJ113" s="20">
        <f t="shared" si="15"/>
        <v>0</v>
      </c>
    </row>
    <row r="114" spans="1:88" x14ac:dyDescent="0.25">
      <c r="A114" s="5"/>
      <c r="B114" s="5"/>
      <c r="C114" s="5"/>
      <c r="D114" s="5"/>
      <c r="E114" s="10">
        <f t="shared" si="9"/>
        <v>0</v>
      </c>
      <c r="F114" s="5"/>
      <c r="G114" s="21">
        <f t="shared" si="16"/>
        <v>0</v>
      </c>
      <c r="H114" s="2"/>
      <c r="I114" s="5"/>
      <c r="J114" s="5"/>
      <c r="AM114" s="2"/>
      <c r="AN114" s="2"/>
      <c r="AO114" s="2"/>
      <c r="AP114" s="2"/>
      <c r="AQ114" s="20">
        <f t="shared" si="10"/>
        <v>0</v>
      </c>
      <c r="AR114" s="2"/>
      <c r="AS114" s="29">
        <f t="shared" si="17"/>
        <v>0</v>
      </c>
      <c r="AT114" s="2"/>
      <c r="AU114" s="2"/>
      <c r="AV114" s="2"/>
      <c r="CE114" s="2">
        <f t="shared" si="11"/>
        <v>0</v>
      </c>
      <c r="CF114" s="19">
        <f t="shared" si="12"/>
        <v>0</v>
      </c>
      <c r="CG114" s="2">
        <f t="shared" si="13"/>
        <v>0</v>
      </c>
      <c r="CH114" s="24">
        <f t="shared" si="14"/>
        <v>0</v>
      </c>
      <c r="CI114" s="2"/>
      <c r="CJ114" s="20">
        <f t="shared" si="15"/>
        <v>0</v>
      </c>
    </row>
    <row r="115" spans="1:88" x14ac:dyDescent="0.25">
      <c r="A115" s="5"/>
      <c r="B115" s="5"/>
      <c r="C115" s="5"/>
      <c r="D115" s="5"/>
      <c r="E115" s="10">
        <f t="shared" si="9"/>
        <v>0</v>
      </c>
      <c r="F115" s="5"/>
      <c r="G115" s="21">
        <f t="shared" si="16"/>
        <v>0</v>
      </c>
      <c r="H115" s="2"/>
      <c r="I115" s="5"/>
      <c r="J115" s="5"/>
      <c r="AM115" s="2"/>
      <c r="AN115" s="2"/>
      <c r="AO115" s="2"/>
      <c r="AP115" s="2"/>
      <c r="AQ115" s="20">
        <f t="shared" si="10"/>
        <v>0</v>
      </c>
      <c r="AR115" s="2"/>
      <c r="AS115" s="29">
        <f t="shared" si="17"/>
        <v>0</v>
      </c>
      <c r="AT115" s="2"/>
      <c r="AU115" s="2"/>
      <c r="AV115" s="2"/>
      <c r="CE115" s="2">
        <f t="shared" si="11"/>
        <v>0</v>
      </c>
      <c r="CF115" s="19">
        <f t="shared" si="12"/>
        <v>0</v>
      </c>
      <c r="CG115" s="2">
        <f t="shared" si="13"/>
        <v>0</v>
      </c>
      <c r="CH115" s="24">
        <f t="shared" si="14"/>
        <v>0</v>
      </c>
      <c r="CI115" s="2"/>
      <c r="CJ115" s="20">
        <f t="shared" si="15"/>
        <v>0</v>
      </c>
    </row>
    <row r="116" spans="1:88" x14ac:dyDescent="0.25">
      <c r="A116" s="5"/>
      <c r="B116" s="5"/>
      <c r="C116" s="5"/>
      <c r="D116" s="5"/>
      <c r="E116" s="10">
        <f t="shared" si="9"/>
        <v>0</v>
      </c>
      <c r="F116" s="5"/>
      <c r="G116" s="21">
        <f t="shared" si="16"/>
        <v>0</v>
      </c>
      <c r="H116" s="2"/>
      <c r="I116" s="5"/>
      <c r="J116" s="5"/>
      <c r="AM116" s="2"/>
      <c r="AN116" s="2"/>
      <c r="AO116" s="2"/>
      <c r="AP116" s="2"/>
      <c r="AQ116" s="20">
        <f t="shared" si="10"/>
        <v>0</v>
      </c>
      <c r="AR116" s="2"/>
      <c r="AS116" s="29">
        <f t="shared" si="17"/>
        <v>0</v>
      </c>
      <c r="AT116" s="2"/>
      <c r="AU116" s="2"/>
      <c r="AV116" s="2"/>
      <c r="CE116" s="2">
        <f t="shared" si="11"/>
        <v>0</v>
      </c>
      <c r="CF116" s="19">
        <f t="shared" si="12"/>
        <v>0</v>
      </c>
      <c r="CG116" s="2">
        <f t="shared" si="13"/>
        <v>0</v>
      </c>
      <c r="CH116" s="24">
        <f t="shared" si="14"/>
        <v>0</v>
      </c>
      <c r="CI116" s="2"/>
      <c r="CJ116" s="20">
        <f t="shared" si="15"/>
        <v>0</v>
      </c>
    </row>
    <row r="117" spans="1:88" x14ac:dyDescent="0.25">
      <c r="A117" s="5"/>
      <c r="B117" s="5"/>
      <c r="C117" s="5"/>
      <c r="D117" s="5"/>
      <c r="E117" s="10">
        <f t="shared" si="9"/>
        <v>0</v>
      </c>
      <c r="F117" s="5"/>
      <c r="G117" s="21">
        <f t="shared" si="16"/>
        <v>0</v>
      </c>
      <c r="H117" s="2"/>
      <c r="I117" s="5"/>
      <c r="J117" s="5"/>
      <c r="AM117" s="2"/>
      <c r="AN117" s="2"/>
      <c r="AO117" s="2"/>
      <c r="AP117" s="2"/>
      <c r="AQ117" s="20">
        <f t="shared" si="10"/>
        <v>0</v>
      </c>
      <c r="AR117" s="2"/>
      <c r="AS117" s="29">
        <f t="shared" si="17"/>
        <v>0</v>
      </c>
      <c r="AT117" s="2"/>
      <c r="AU117" s="2"/>
      <c r="AV117" s="2"/>
      <c r="CE117" s="2">
        <f t="shared" si="11"/>
        <v>0</v>
      </c>
      <c r="CF117" s="19">
        <f t="shared" si="12"/>
        <v>0</v>
      </c>
      <c r="CG117" s="2">
        <f t="shared" si="13"/>
        <v>0</v>
      </c>
      <c r="CH117" s="24">
        <f t="shared" si="14"/>
        <v>0</v>
      </c>
      <c r="CI117" s="2"/>
      <c r="CJ117" s="20">
        <f t="shared" si="15"/>
        <v>0</v>
      </c>
    </row>
    <row r="118" spans="1:88" x14ac:dyDescent="0.25">
      <c r="A118" s="5"/>
      <c r="B118" s="5"/>
      <c r="C118" s="5"/>
      <c r="D118" s="5"/>
      <c r="E118" s="10">
        <f t="shared" si="9"/>
        <v>0</v>
      </c>
      <c r="F118" s="5"/>
      <c r="G118" s="21">
        <f t="shared" si="16"/>
        <v>0</v>
      </c>
      <c r="H118" s="2"/>
      <c r="I118" s="5"/>
      <c r="J118" s="5"/>
      <c r="AM118" s="2"/>
      <c r="AN118" s="2"/>
      <c r="AO118" s="2"/>
      <c r="AP118" s="2"/>
      <c r="AQ118" s="20">
        <f t="shared" si="10"/>
        <v>0</v>
      </c>
      <c r="AR118" s="2"/>
      <c r="AS118" s="29">
        <f t="shared" si="17"/>
        <v>0</v>
      </c>
      <c r="AT118" s="2"/>
      <c r="AU118" s="2"/>
      <c r="AV118" s="2"/>
      <c r="CE118" s="2">
        <f t="shared" si="11"/>
        <v>0</v>
      </c>
      <c r="CF118" s="19">
        <f t="shared" si="12"/>
        <v>0</v>
      </c>
      <c r="CG118" s="2">
        <f t="shared" si="13"/>
        <v>0</v>
      </c>
      <c r="CH118" s="24">
        <f t="shared" si="14"/>
        <v>0</v>
      </c>
      <c r="CI118" s="2"/>
      <c r="CJ118" s="20">
        <f t="shared" si="15"/>
        <v>0</v>
      </c>
    </row>
    <row r="119" spans="1:88" x14ac:dyDescent="0.25">
      <c r="A119" s="5"/>
      <c r="B119" s="5"/>
      <c r="C119" s="5"/>
      <c r="D119" s="5"/>
      <c r="E119" s="10">
        <f t="shared" si="9"/>
        <v>0</v>
      </c>
      <c r="F119" s="5"/>
      <c r="G119" s="21">
        <f t="shared" si="16"/>
        <v>0</v>
      </c>
      <c r="H119" s="2"/>
      <c r="I119" s="5"/>
      <c r="J119" s="5"/>
      <c r="AM119" s="2"/>
      <c r="AN119" s="2"/>
      <c r="AO119" s="2"/>
      <c r="AP119" s="2"/>
      <c r="AQ119" s="20">
        <f t="shared" si="10"/>
        <v>0</v>
      </c>
      <c r="AR119" s="2"/>
      <c r="AS119" s="29">
        <f t="shared" si="17"/>
        <v>0</v>
      </c>
      <c r="AT119" s="2"/>
      <c r="AU119" s="2"/>
      <c r="AV119" s="2"/>
      <c r="CE119" s="2">
        <f t="shared" si="11"/>
        <v>0</v>
      </c>
      <c r="CF119" s="19">
        <f t="shared" si="12"/>
        <v>0</v>
      </c>
      <c r="CG119" s="2">
        <f t="shared" si="13"/>
        <v>0</v>
      </c>
      <c r="CH119" s="24">
        <f t="shared" si="14"/>
        <v>0</v>
      </c>
      <c r="CI119" s="2"/>
      <c r="CJ119" s="20">
        <f t="shared" si="15"/>
        <v>0</v>
      </c>
    </row>
    <row r="120" spans="1:88" x14ac:dyDescent="0.25">
      <c r="A120" s="5"/>
      <c r="B120" s="5"/>
      <c r="C120" s="5"/>
      <c r="D120" s="5"/>
      <c r="E120" s="10">
        <f t="shared" si="9"/>
        <v>0</v>
      </c>
      <c r="F120" s="5"/>
      <c r="G120" s="21">
        <f t="shared" si="16"/>
        <v>0</v>
      </c>
      <c r="H120" s="2"/>
      <c r="I120" s="5"/>
      <c r="J120" s="5"/>
      <c r="AM120" s="2"/>
      <c r="AN120" s="2"/>
      <c r="AO120" s="2"/>
      <c r="AP120" s="2"/>
      <c r="AQ120" s="20">
        <f t="shared" si="10"/>
        <v>0</v>
      </c>
      <c r="AR120" s="2"/>
      <c r="AS120" s="29">
        <f t="shared" si="17"/>
        <v>0</v>
      </c>
      <c r="AT120" s="2"/>
      <c r="AU120" s="2"/>
      <c r="AV120" s="2"/>
      <c r="CE120" s="2">
        <f t="shared" si="11"/>
        <v>0</v>
      </c>
      <c r="CF120" s="19">
        <f t="shared" si="12"/>
        <v>0</v>
      </c>
      <c r="CG120" s="2">
        <f t="shared" si="13"/>
        <v>0</v>
      </c>
      <c r="CH120" s="24">
        <f t="shared" si="14"/>
        <v>0</v>
      </c>
      <c r="CI120" s="2"/>
      <c r="CJ120" s="20">
        <f t="shared" si="15"/>
        <v>0</v>
      </c>
    </row>
    <row r="121" spans="1:88" x14ac:dyDescent="0.25">
      <c r="A121" s="5"/>
      <c r="B121" s="5"/>
      <c r="C121" s="5"/>
      <c r="D121" s="5"/>
      <c r="E121" s="10">
        <f t="shared" si="9"/>
        <v>0</v>
      </c>
      <c r="F121" s="5"/>
      <c r="G121" s="21">
        <f t="shared" si="16"/>
        <v>0</v>
      </c>
      <c r="H121" s="2"/>
      <c r="I121" s="5"/>
      <c r="J121" s="5"/>
      <c r="AM121" s="2"/>
      <c r="AN121" s="2"/>
      <c r="AO121" s="2"/>
      <c r="AP121" s="2"/>
      <c r="AQ121" s="20">
        <f t="shared" si="10"/>
        <v>0</v>
      </c>
      <c r="AR121" s="2"/>
      <c r="AS121" s="29">
        <f t="shared" si="17"/>
        <v>0</v>
      </c>
      <c r="AT121" s="2"/>
      <c r="AU121" s="2"/>
      <c r="AV121" s="2"/>
      <c r="CE121" s="2">
        <f t="shared" si="11"/>
        <v>0</v>
      </c>
      <c r="CF121" s="19">
        <f t="shared" si="12"/>
        <v>0</v>
      </c>
      <c r="CG121" s="2">
        <f t="shared" si="13"/>
        <v>0</v>
      </c>
      <c r="CH121" s="24">
        <f t="shared" si="14"/>
        <v>0</v>
      </c>
      <c r="CI121" s="2"/>
      <c r="CJ121" s="20">
        <f t="shared" si="15"/>
        <v>0</v>
      </c>
    </row>
    <row r="122" spans="1:88" x14ac:dyDescent="0.25">
      <c r="A122" s="5"/>
      <c r="B122" s="5"/>
      <c r="C122" s="5"/>
      <c r="D122" s="5"/>
      <c r="E122" s="10">
        <f t="shared" si="9"/>
        <v>0</v>
      </c>
      <c r="F122" s="5"/>
      <c r="G122" s="21">
        <f t="shared" si="16"/>
        <v>0</v>
      </c>
      <c r="H122" s="2"/>
      <c r="I122" s="5"/>
      <c r="J122" s="5"/>
      <c r="AM122" s="2"/>
      <c r="AN122" s="2"/>
      <c r="AO122" s="2"/>
      <c r="AP122" s="2"/>
      <c r="AQ122" s="20">
        <f t="shared" si="10"/>
        <v>0</v>
      </c>
      <c r="AR122" s="2"/>
      <c r="AS122" s="29">
        <f t="shared" si="17"/>
        <v>0</v>
      </c>
      <c r="AT122" s="2"/>
      <c r="AU122" s="2"/>
      <c r="AV122" s="2"/>
      <c r="CE122" s="2">
        <f t="shared" si="11"/>
        <v>0</v>
      </c>
      <c r="CF122" s="19">
        <f t="shared" si="12"/>
        <v>0</v>
      </c>
      <c r="CG122" s="2">
        <f t="shared" si="13"/>
        <v>0</v>
      </c>
      <c r="CH122" s="24">
        <f t="shared" si="14"/>
        <v>0</v>
      </c>
      <c r="CI122" s="2"/>
      <c r="CJ122" s="20">
        <f t="shared" si="15"/>
        <v>0</v>
      </c>
    </row>
    <row r="123" spans="1:88" x14ac:dyDescent="0.25">
      <c r="A123" s="5"/>
      <c r="B123" s="5"/>
      <c r="C123" s="5"/>
      <c r="D123" s="5"/>
      <c r="E123" s="10">
        <f t="shared" si="9"/>
        <v>0</v>
      </c>
      <c r="F123" s="5"/>
      <c r="G123" s="21">
        <f t="shared" si="16"/>
        <v>0</v>
      </c>
      <c r="H123" s="2"/>
      <c r="I123" s="5"/>
      <c r="J123" s="5"/>
      <c r="AM123" s="2"/>
      <c r="AN123" s="2"/>
      <c r="AO123" s="2"/>
      <c r="AP123" s="2"/>
      <c r="AQ123" s="20">
        <f t="shared" si="10"/>
        <v>0</v>
      </c>
      <c r="AR123" s="2"/>
      <c r="AS123" s="29">
        <f t="shared" si="17"/>
        <v>0</v>
      </c>
      <c r="AT123" s="2"/>
      <c r="AU123" s="2"/>
      <c r="AV123" s="2"/>
      <c r="CE123" s="2">
        <f t="shared" si="11"/>
        <v>0</v>
      </c>
      <c r="CF123" s="19">
        <f t="shared" si="12"/>
        <v>0</v>
      </c>
      <c r="CG123" s="2">
        <f t="shared" si="13"/>
        <v>0</v>
      </c>
      <c r="CH123" s="24">
        <f t="shared" si="14"/>
        <v>0</v>
      </c>
      <c r="CI123" s="2"/>
      <c r="CJ123" s="20">
        <f t="shared" si="15"/>
        <v>0</v>
      </c>
    </row>
    <row r="124" spans="1:88" x14ac:dyDescent="0.25">
      <c r="A124" s="5"/>
      <c r="B124" s="5"/>
      <c r="C124" s="5"/>
      <c r="D124" s="5"/>
      <c r="E124" s="10">
        <f t="shared" si="9"/>
        <v>0</v>
      </c>
      <c r="F124" s="5"/>
      <c r="G124" s="21">
        <f t="shared" si="16"/>
        <v>0</v>
      </c>
      <c r="H124" s="2"/>
      <c r="I124" s="5"/>
      <c r="J124" s="5"/>
      <c r="AM124" s="2"/>
      <c r="AN124" s="2"/>
      <c r="AO124" s="2"/>
      <c r="AP124" s="2"/>
      <c r="AQ124" s="20">
        <f t="shared" si="10"/>
        <v>0</v>
      </c>
      <c r="AR124" s="2"/>
      <c r="AS124" s="29">
        <f t="shared" si="17"/>
        <v>0</v>
      </c>
      <c r="AT124" s="2"/>
      <c r="AU124" s="2"/>
      <c r="AV124" s="2"/>
      <c r="CE124" s="2">
        <f t="shared" si="11"/>
        <v>0</v>
      </c>
      <c r="CF124" s="19">
        <f t="shared" si="12"/>
        <v>0</v>
      </c>
      <c r="CG124" s="2">
        <f t="shared" si="13"/>
        <v>0</v>
      </c>
      <c r="CH124" s="24">
        <f t="shared" si="14"/>
        <v>0</v>
      </c>
      <c r="CI124" s="2"/>
      <c r="CJ124" s="20">
        <f t="shared" si="15"/>
        <v>0</v>
      </c>
    </row>
    <row r="125" spans="1:88" x14ac:dyDescent="0.25">
      <c r="A125" s="5"/>
      <c r="B125" s="5"/>
      <c r="C125" s="5"/>
      <c r="D125" s="5"/>
      <c r="E125" s="10">
        <f t="shared" si="9"/>
        <v>0</v>
      </c>
      <c r="F125" s="5"/>
      <c r="G125" s="21">
        <f t="shared" si="16"/>
        <v>0</v>
      </c>
      <c r="H125" s="2"/>
      <c r="I125" s="5"/>
      <c r="J125" s="5"/>
      <c r="AM125" s="2"/>
      <c r="AN125" s="2"/>
      <c r="AO125" s="2"/>
      <c r="AP125" s="2"/>
      <c r="AQ125" s="20">
        <f t="shared" si="10"/>
        <v>0</v>
      </c>
      <c r="AR125" s="2"/>
      <c r="AS125" s="29">
        <f t="shared" si="17"/>
        <v>0</v>
      </c>
      <c r="AT125" s="2"/>
      <c r="AU125" s="2"/>
      <c r="AV125" s="2"/>
      <c r="CE125" s="2">
        <f t="shared" si="11"/>
        <v>0</v>
      </c>
      <c r="CF125" s="19">
        <f t="shared" si="12"/>
        <v>0</v>
      </c>
      <c r="CG125" s="2">
        <f t="shared" si="13"/>
        <v>0</v>
      </c>
      <c r="CH125" s="24">
        <f t="shared" si="14"/>
        <v>0</v>
      </c>
      <c r="CI125" s="2"/>
      <c r="CJ125" s="20">
        <f t="shared" si="15"/>
        <v>0</v>
      </c>
    </row>
    <row r="126" spans="1:88" x14ac:dyDescent="0.25">
      <c r="A126" s="5"/>
      <c r="B126" s="5"/>
      <c r="C126" s="5"/>
      <c r="D126" s="5"/>
      <c r="E126" s="10">
        <f t="shared" si="9"/>
        <v>0</v>
      </c>
      <c r="F126" s="5"/>
      <c r="G126" s="21">
        <f t="shared" si="16"/>
        <v>0</v>
      </c>
      <c r="H126" s="2"/>
      <c r="I126" s="5"/>
      <c r="J126" s="5"/>
      <c r="AM126" s="2"/>
      <c r="AN126" s="2"/>
      <c r="AO126" s="2"/>
      <c r="AP126" s="2"/>
      <c r="AQ126" s="20">
        <f t="shared" si="10"/>
        <v>0</v>
      </c>
      <c r="AR126" s="2"/>
      <c r="AS126" s="29">
        <f t="shared" si="17"/>
        <v>0</v>
      </c>
      <c r="AT126" s="2"/>
      <c r="AU126" s="2"/>
      <c r="AV126" s="2"/>
      <c r="CE126" s="2">
        <f t="shared" si="11"/>
        <v>0</v>
      </c>
      <c r="CF126" s="19">
        <f t="shared" si="12"/>
        <v>0</v>
      </c>
      <c r="CG126" s="2">
        <f t="shared" si="13"/>
        <v>0</v>
      </c>
      <c r="CH126" s="24">
        <f t="shared" si="14"/>
        <v>0</v>
      </c>
      <c r="CI126" s="2"/>
      <c r="CJ126" s="20">
        <f t="shared" si="15"/>
        <v>0</v>
      </c>
    </row>
    <row r="127" spans="1:88" x14ac:dyDescent="0.25">
      <c r="A127" s="5"/>
      <c r="B127" s="5"/>
      <c r="C127" s="5"/>
      <c r="D127" s="5"/>
      <c r="E127" s="10">
        <f t="shared" si="9"/>
        <v>0</v>
      </c>
      <c r="F127" s="5"/>
      <c r="G127" s="21">
        <f t="shared" si="16"/>
        <v>0</v>
      </c>
      <c r="H127" s="2"/>
      <c r="I127" s="5"/>
      <c r="J127" s="5"/>
      <c r="AM127" s="2"/>
      <c r="AN127" s="2"/>
      <c r="AO127" s="2"/>
      <c r="AP127" s="2"/>
      <c r="AQ127" s="20">
        <f t="shared" si="10"/>
        <v>0</v>
      </c>
      <c r="AR127" s="2"/>
      <c r="AS127" s="29">
        <f t="shared" si="17"/>
        <v>0</v>
      </c>
      <c r="AT127" s="2"/>
      <c r="AU127" s="2"/>
      <c r="AV127" s="2"/>
      <c r="CE127" s="2">
        <f t="shared" si="11"/>
        <v>0</v>
      </c>
      <c r="CF127" s="19">
        <f t="shared" si="12"/>
        <v>0</v>
      </c>
      <c r="CG127" s="2">
        <f t="shared" si="13"/>
        <v>0</v>
      </c>
      <c r="CH127" s="24">
        <f t="shared" si="14"/>
        <v>0</v>
      </c>
      <c r="CI127" s="2"/>
      <c r="CJ127" s="20">
        <f t="shared" si="15"/>
        <v>0</v>
      </c>
    </row>
    <row r="128" spans="1:88" x14ac:dyDescent="0.25">
      <c r="A128" s="5"/>
      <c r="B128" s="5"/>
      <c r="C128" s="5"/>
      <c r="D128" s="5"/>
      <c r="E128" s="10">
        <f t="shared" si="9"/>
        <v>0</v>
      </c>
      <c r="F128" s="5"/>
      <c r="G128" s="21">
        <f t="shared" si="16"/>
        <v>0</v>
      </c>
      <c r="H128" s="2"/>
      <c r="I128" s="5"/>
      <c r="J128" s="5"/>
      <c r="AM128" s="2"/>
      <c r="AN128" s="2"/>
      <c r="AO128" s="2"/>
      <c r="AP128" s="2"/>
      <c r="AQ128" s="20">
        <f t="shared" si="10"/>
        <v>0</v>
      </c>
      <c r="AR128" s="2"/>
      <c r="AS128" s="29">
        <f t="shared" si="17"/>
        <v>0</v>
      </c>
      <c r="AT128" s="2"/>
      <c r="AU128" s="2"/>
      <c r="AV128" s="2"/>
      <c r="CE128" s="2">
        <f t="shared" si="11"/>
        <v>0</v>
      </c>
      <c r="CF128" s="19">
        <f t="shared" si="12"/>
        <v>0</v>
      </c>
      <c r="CG128" s="2">
        <f t="shared" si="13"/>
        <v>0</v>
      </c>
      <c r="CH128" s="24">
        <f t="shared" si="14"/>
        <v>0</v>
      </c>
      <c r="CI128" s="2"/>
      <c r="CJ128" s="20">
        <f t="shared" si="15"/>
        <v>0</v>
      </c>
    </row>
    <row r="129" spans="1:88" x14ac:dyDescent="0.25">
      <c r="A129" s="5"/>
      <c r="B129" s="5"/>
      <c r="C129" s="5"/>
      <c r="D129" s="5"/>
      <c r="E129" s="10">
        <f t="shared" si="9"/>
        <v>0</v>
      </c>
      <c r="F129" s="5"/>
      <c r="G129" s="21">
        <f t="shared" si="16"/>
        <v>0</v>
      </c>
      <c r="H129" s="2"/>
      <c r="I129" s="5"/>
      <c r="J129" s="5"/>
      <c r="AM129" s="2"/>
      <c r="AN129" s="2"/>
      <c r="AO129" s="2"/>
      <c r="AP129" s="2"/>
      <c r="AQ129" s="20">
        <f t="shared" si="10"/>
        <v>0</v>
      </c>
      <c r="AR129" s="2"/>
      <c r="AS129" s="29">
        <f t="shared" si="17"/>
        <v>0</v>
      </c>
      <c r="AT129" s="2"/>
      <c r="AU129" s="2"/>
      <c r="AV129" s="2"/>
      <c r="CE129" s="2">
        <f t="shared" si="11"/>
        <v>0</v>
      </c>
      <c r="CF129" s="19">
        <f t="shared" si="12"/>
        <v>0</v>
      </c>
      <c r="CG129" s="2">
        <f t="shared" si="13"/>
        <v>0</v>
      </c>
      <c r="CH129" s="24">
        <f t="shared" si="14"/>
        <v>0</v>
      </c>
      <c r="CI129" s="2"/>
      <c r="CJ129" s="20">
        <f t="shared" si="15"/>
        <v>0</v>
      </c>
    </row>
    <row r="130" spans="1:88" x14ac:dyDescent="0.25">
      <c r="A130" s="5"/>
      <c r="B130" s="5"/>
      <c r="C130" s="5"/>
      <c r="D130" s="5"/>
      <c r="E130" s="10">
        <f t="shared" si="9"/>
        <v>0</v>
      </c>
      <c r="F130" s="5"/>
      <c r="G130" s="21">
        <f t="shared" si="16"/>
        <v>0</v>
      </c>
      <c r="H130" s="2"/>
      <c r="I130" s="5"/>
      <c r="J130" s="5"/>
      <c r="AM130" s="2"/>
      <c r="AN130" s="2"/>
      <c r="AO130" s="2"/>
      <c r="AP130" s="2"/>
      <c r="AQ130" s="20">
        <f t="shared" si="10"/>
        <v>0</v>
      </c>
      <c r="AR130" s="2"/>
      <c r="AS130" s="29">
        <f t="shared" si="17"/>
        <v>0</v>
      </c>
      <c r="AT130" s="2"/>
      <c r="AU130" s="2"/>
      <c r="AV130" s="2"/>
      <c r="CE130" s="2">
        <f t="shared" si="11"/>
        <v>0</v>
      </c>
      <c r="CF130" s="19">
        <f t="shared" si="12"/>
        <v>0</v>
      </c>
      <c r="CG130" s="2">
        <f t="shared" si="13"/>
        <v>0</v>
      </c>
      <c r="CH130" s="24">
        <f t="shared" si="14"/>
        <v>0</v>
      </c>
      <c r="CI130" s="2"/>
      <c r="CJ130" s="20">
        <f t="shared" si="15"/>
        <v>0</v>
      </c>
    </row>
    <row r="131" spans="1:88" x14ac:dyDescent="0.25">
      <c r="A131" s="5"/>
      <c r="B131" s="5"/>
      <c r="C131" s="5"/>
      <c r="D131" s="5"/>
      <c r="E131" s="10">
        <f t="shared" si="9"/>
        <v>0</v>
      </c>
      <c r="F131" s="5"/>
      <c r="G131" s="21">
        <f t="shared" si="16"/>
        <v>0</v>
      </c>
      <c r="H131" s="2"/>
      <c r="I131" s="5"/>
      <c r="J131" s="5"/>
      <c r="AM131" s="2"/>
      <c r="AN131" s="2"/>
      <c r="AO131" s="2"/>
      <c r="AP131" s="2"/>
      <c r="AQ131" s="20">
        <f t="shared" si="10"/>
        <v>0</v>
      </c>
      <c r="AR131" s="2"/>
      <c r="AS131" s="29">
        <f t="shared" si="17"/>
        <v>0</v>
      </c>
      <c r="AT131" s="2"/>
      <c r="AU131" s="2"/>
      <c r="AV131" s="2"/>
      <c r="CE131" s="2">
        <f t="shared" si="11"/>
        <v>0</v>
      </c>
      <c r="CF131" s="19">
        <f t="shared" si="12"/>
        <v>0</v>
      </c>
      <c r="CG131" s="2">
        <f t="shared" si="13"/>
        <v>0</v>
      </c>
      <c r="CH131" s="24">
        <f t="shared" si="14"/>
        <v>0</v>
      </c>
      <c r="CI131" s="2"/>
      <c r="CJ131" s="20">
        <f t="shared" si="15"/>
        <v>0</v>
      </c>
    </row>
    <row r="132" spans="1:88" x14ac:dyDescent="0.25">
      <c r="A132" s="5"/>
      <c r="B132" s="5"/>
      <c r="C132" s="5"/>
      <c r="D132" s="5"/>
      <c r="E132" s="10">
        <f t="shared" ref="E132:E195" si="18">-(C132/$C$6)</f>
        <v>0</v>
      </c>
      <c r="F132" s="5"/>
      <c r="G132" s="21">
        <f t="shared" si="16"/>
        <v>0</v>
      </c>
      <c r="H132" s="2"/>
      <c r="I132" s="5"/>
      <c r="J132" s="5"/>
      <c r="AM132" s="2"/>
      <c r="AN132" s="2"/>
      <c r="AO132" s="2"/>
      <c r="AP132" s="2"/>
      <c r="AQ132" s="20">
        <f t="shared" ref="AQ132:AQ195" si="19">-(AO132/$C$6)</f>
        <v>0</v>
      </c>
      <c r="AR132" s="2"/>
      <c r="AS132" s="29">
        <f t="shared" si="17"/>
        <v>0</v>
      </c>
      <c r="AT132" s="2"/>
      <c r="AU132" s="2"/>
      <c r="AV132" s="2"/>
      <c r="CE132" s="2">
        <f t="shared" ref="CE132:CE195" si="20">A133</f>
        <v>0</v>
      </c>
      <c r="CF132" s="19">
        <f t="shared" ref="CF132:CF195" si="21">AM133</f>
        <v>0</v>
      </c>
      <c r="CG132" s="2">
        <f t="shared" ref="CG132:CG195" si="22">G133</f>
        <v>0</v>
      </c>
      <c r="CH132" s="24">
        <f t="shared" ref="CH132:CH195" si="23">AS133</f>
        <v>0</v>
      </c>
      <c r="CI132" s="2"/>
      <c r="CJ132" s="20">
        <f t="shared" ref="CJ132:CJ195" si="24">-(CI132/$CI$5)</f>
        <v>0</v>
      </c>
    </row>
    <row r="133" spans="1:88" x14ac:dyDescent="0.25">
      <c r="A133" s="5"/>
      <c r="B133" s="5"/>
      <c r="C133" s="5"/>
      <c r="D133" s="5"/>
      <c r="E133" s="10">
        <f t="shared" si="18"/>
        <v>0</v>
      </c>
      <c r="F133" s="5"/>
      <c r="G133" s="21">
        <f t="shared" ref="G133:G196" si="25">1/2*$CB$4*($CC$4)^2*$CD$4*A133</f>
        <v>0</v>
      </c>
      <c r="H133" s="2"/>
      <c r="I133" s="5"/>
      <c r="J133" s="5"/>
      <c r="AM133" s="2"/>
      <c r="AN133" s="2"/>
      <c r="AO133" s="2"/>
      <c r="AP133" s="2"/>
      <c r="AQ133" s="20">
        <f t="shared" si="19"/>
        <v>0</v>
      </c>
      <c r="AR133" s="2"/>
      <c r="AS133" s="29">
        <f t="shared" ref="AS133:AS196" si="26">1/2*$CB$4*($CC$4)^2*$CD$4*AM133</f>
        <v>0</v>
      </c>
      <c r="AT133" s="2"/>
      <c r="AU133" s="2"/>
      <c r="AV133" s="2"/>
      <c r="CE133" s="2">
        <f t="shared" si="20"/>
        <v>0</v>
      </c>
      <c r="CF133" s="19">
        <f t="shared" si="21"/>
        <v>0</v>
      </c>
      <c r="CG133" s="2">
        <f t="shared" si="22"/>
        <v>0</v>
      </c>
      <c r="CH133" s="24">
        <f t="shared" si="23"/>
        <v>0</v>
      </c>
      <c r="CI133" s="2"/>
      <c r="CJ133" s="20">
        <f t="shared" si="24"/>
        <v>0</v>
      </c>
    </row>
    <row r="134" spans="1:88" x14ac:dyDescent="0.25">
      <c r="A134" s="5"/>
      <c r="B134" s="5"/>
      <c r="C134" s="5"/>
      <c r="D134" s="5"/>
      <c r="E134" s="10">
        <f t="shared" si="18"/>
        <v>0</v>
      </c>
      <c r="F134" s="5"/>
      <c r="G134" s="21">
        <f t="shared" si="25"/>
        <v>0</v>
      </c>
      <c r="H134" s="2"/>
      <c r="I134" s="5"/>
      <c r="J134" s="5"/>
      <c r="AM134" s="2"/>
      <c r="AN134" s="2"/>
      <c r="AO134" s="2"/>
      <c r="AP134" s="2"/>
      <c r="AQ134" s="20">
        <f t="shared" si="19"/>
        <v>0</v>
      </c>
      <c r="AR134" s="2"/>
      <c r="AS134" s="29">
        <f t="shared" si="26"/>
        <v>0</v>
      </c>
      <c r="AT134" s="2"/>
      <c r="AU134" s="2"/>
      <c r="AV134" s="2"/>
      <c r="CE134" s="2">
        <f t="shared" si="20"/>
        <v>0</v>
      </c>
      <c r="CF134" s="19">
        <f t="shared" si="21"/>
        <v>0</v>
      </c>
      <c r="CG134" s="2">
        <f t="shared" si="22"/>
        <v>0</v>
      </c>
      <c r="CH134" s="24">
        <f t="shared" si="23"/>
        <v>0</v>
      </c>
      <c r="CI134" s="2"/>
      <c r="CJ134" s="20">
        <f t="shared" si="24"/>
        <v>0</v>
      </c>
    </row>
    <row r="135" spans="1:88" x14ac:dyDescent="0.25">
      <c r="A135" s="5"/>
      <c r="B135" s="5"/>
      <c r="C135" s="5"/>
      <c r="D135" s="5"/>
      <c r="E135" s="10">
        <f t="shared" si="18"/>
        <v>0</v>
      </c>
      <c r="F135" s="5"/>
      <c r="G135" s="21">
        <f t="shared" si="25"/>
        <v>0</v>
      </c>
      <c r="H135" s="2"/>
      <c r="I135" s="5"/>
      <c r="J135" s="5"/>
      <c r="AM135" s="2"/>
      <c r="AN135" s="2"/>
      <c r="AO135" s="2"/>
      <c r="AP135" s="2"/>
      <c r="AQ135" s="20">
        <f t="shared" si="19"/>
        <v>0</v>
      </c>
      <c r="AR135" s="2"/>
      <c r="AS135" s="29">
        <f t="shared" si="26"/>
        <v>0</v>
      </c>
      <c r="AT135" s="2"/>
      <c r="AU135" s="2"/>
      <c r="AV135" s="2"/>
      <c r="CE135" s="2">
        <f t="shared" si="20"/>
        <v>0</v>
      </c>
      <c r="CF135" s="19">
        <f t="shared" si="21"/>
        <v>0</v>
      </c>
      <c r="CG135" s="2">
        <f t="shared" si="22"/>
        <v>0</v>
      </c>
      <c r="CH135" s="24">
        <f t="shared" si="23"/>
        <v>0</v>
      </c>
      <c r="CI135" s="2"/>
      <c r="CJ135" s="20">
        <f t="shared" si="24"/>
        <v>0</v>
      </c>
    </row>
    <row r="136" spans="1:88" x14ac:dyDescent="0.25">
      <c r="A136" s="5"/>
      <c r="B136" s="5"/>
      <c r="C136" s="5"/>
      <c r="D136" s="5"/>
      <c r="E136" s="10">
        <f t="shared" si="18"/>
        <v>0</v>
      </c>
      <c r="F136" s="5"/>
      <c r="G136" s="21">
        <f t="shared" si="25"/>
        <v>0</v>
      </c>
      <c r="H136" s="2"/>
      <c r="I136" s="5"/>
      <c r="J136" s="5"/>
      <c r="AM136" s="2"/>
      <c r="AN136" s="2"/>
      <c r="AO136" s="2"/>
      <c r="AP136" s="2"/>
      <c r="AQ136" s="20">
        <f t="shared" si="19"/>
        <v>0</v>
      </c>
      <c r="AR136" s="2"/>
      <c r="AS136" s="29">
        <f t="shared" si="26"/>
        <v>0</v>
      </c>
      <c r="AT136" s="2"/>
      <c r="AU136" s="2"/>
      <c r="AV136" s="2"/>
      <c r="CE136" s="2">
        <f t="shared" si="20"/>
        <v>0</v>
      </c>
      <c r="CF136" s="19">
        <f t="shared" si="21"/>
        <v>0</v>
      </c>
      <c r="CG136" s="2">
        <f t="shared" si="22"/>
        <v>0</v>
      </c>
      <c r="CH136" s="24">
        <f t="shared" si="23"/>
        <v>0</v>
      </c>
      <c r="CI136" s="2"/>
      <c r="CJ136" s="20">
        <f t="shared" si="24"/>
        <v>0</v>
      </c>
    </row>
    <row r="137" spans="1:88" x14ac:dyDescent="0.25">
      <c r="A137" s="5"/>
      <c r="B137" s="5"/>
      <c r="C137" s="5"/>
      <c r="D137" s="5"/>
      <c r="E137" s="10">
        <f t="shared" si="18"/>
        <v>0</v>
      </c>
      <c r="F137" s="5"/>
      <c r="G137" s="21">
        <f t="shared" si="25"/>
        <v>0</v>
      </c>
      <c r="H137" s="2"/>
      <c r="I137" s="5"/>
      <c r="J137" s="5"/>
      <c r="AM137" s="2"/>
      <c r="AN137" s="2"/>
      <c r="AO137" s="2"/>
      <c r="AP137" s="2"/>
      <c r="AQ137" s="20">
        <f t="shared" si="19"/>
        <v>0</v>
      </c>
      <c r="AR137" s="2"/>
      <c r="AS137" s="29">
        <f t="shared" si="26"/>
        <v>0</v>
      </c>
      <c r="AT137" s="2"/>
      <c r="AU137" s="2"/>
      <c r="AV137" s="2"/>
      <c r="CE137" s="2">
        <f t="shared" si="20"/>
        <v>0</v>
      </c>
      <c r="CF137" s="19">
        <f t="shared" si="21"/>
        <v>0</v>
      </c>
      <c r="CG137" s="2">
        <f t="shared" si="22"/>
        <v>0</v>
      </c>
      <c r="CH137" s="24">
        <f t="shared" si="23"/>
        <v>0</v>
      </c>
      <c r="CI137" s="2"/>
      <c r="CJ137" s="20">
        <f t="shared" si="24"/>
        <v>0</v>
      </c>
    </row>
    <row r="138" spans="1:88" x14ac:dyDescent="0.25">
      <c r="A138" s="5"/>
      <c r="B138" s="5"/>
      <c r="C138" s="5"/>
      <c r="D138" s="5"/>
      <c r="E138" s="10">
        <f t="shared" si="18"/>
        <v>0</v>
      </c>
      <c r="F138" s="5"/>
      <c r="G138" s="21">
        <f t="shared" si="25"/>
        <v>0</v>
      </c>
      <c r="H138" s="2"/>
      <c r="I138" s="5"/>
      <c r="J138" s="5"/>
      <c r="AM138" s="2"/>
      <c r="AN138" s="2"/>
      <c r="AO138" s="2"/>
      <c r="AP138" s="2"/>
      <c r="AQ138" s="20">
        <f t="shared" si="19"/>
        <v>0</v>
      </c>
      <c r="AR138" s="2"/>
      <c r="AS138" s="29">
        <f t="shared" si="26"/>
        <v>0</v>
      </c>
      <c r="AT138" s="2"/>
      <c r="AU138" s="2"/>
      <c r="AV138" s="2"/>
      <c r="CE138" s="2">
        <f t="shared" si="20"/>
        <v>0</v>
      </c>
      <c r="CF138" s="19">
        <f t="shared" si="21"/>
        <v>0</v>
      </c>
      <c r="CG138" s="2">
        <f t="shared" si="22"/>
        <v>0</v>
      </c>
      <c r="CH138" s="24">
        <f t="shared" si="23"/>
        <v>0</v>
      </c>
      <c r="CI138" s="2"/>
      <c r="CJ138" s="20">
        <f t="shared" si="24"/>
        <v>0</v>
      </c>
    </row>
    <row r="139" spans="1:88" x14ac:dyDescent="0.25">
      <c r="A139" s="5"/>
      <c r="B139" s="5"/>
      <c r="C139" s="5"/>
      <c r="D139" s="5"/>
      <c r="E139" s="10">
        <f t="shared" si="18"/>
        <v>0</v>
      </c>
      <c r="F139" s="5"/>
      <c r="G139" s="21">
        <f t="shared" si="25"/>
        <v>0</v>
      </c>
      <c r="H139" s="2"/>
      <c r="I139" s="5"/>
      <c r="J139" s="5"/>
      <c r="AM139" s="2"/>
      <c r="AN139" s="2"/>
      <c r="AO139" s="2"/>
      <c r="AP139" s="2"/>
      <c r="AQ139" s="20">
        <f t="shared" si="19"/>
        <v>0</v>
      </c>
      <c r="AR139" s="2"/>
      <c r="AS139" s="29">
        <f t="shared" si="26"/>
        <v>0</v>
      </c>
      <c r="AT139" s="2"/>
      <c r="AU139" s="2"/>
      <c r="AV139" s="2"/>
      <c r="CE139" s="2">
        <f t="shared" si="20"/>
        <v>0</v>
      </c>
      <c r="CF139" s="19">
        <f t="shared" si="21"/>
        <v>0</v>
      </c>
      <c r="CG139" s="2">
        <f t="shared" si="22"/>
        <v>0</v>
      </c>
      <c r="CH139" s="24">
        <f t="shared" si="23"/>
        <v>0</v>
      </c>
      <c r="CI139" s="2"/>
      <c r="CJ139" s="20">
        <f t="shared" si="24"/>
        <v>0</v>
      </c>
    </row>
    <row r="140" spans="1:88" x14ac:dyDescent="0.25">
      <c r="A140" s="5"/>
      <c r="B140" s="5"/>
      <c r="C140" s="5"/>
      <c r="D140" s="5"/>
      <c r="E140" s="10">
        <f t="shared" si="18"/>
        <v>0</v>
      </c>
      <c r="F140" s="5"/>
      <c r="G140" s="21">
        <f t="shared" si="25"/>
        <v>0</v>
      </c>
      <c r="H140" s="2"/>
      <c r="I140" s="5"/>
      <c r="J140" s="5"/>
      <c r="AM140" s="2"/>
      <c r="AN140" s="2"/>
      <c r="AO140" s="2"/>
      <c r="AP140" s="2"/>
      <c r="AQ140" s="20">
        <f t="shared" si="19"/>
        <v>0</v>
      </c>
      <c r="AR140" s="2"/>
      <c r="AS140" s="29">
        <f t="shared" si="26"/>
        <v>0</v>
      </c>
      <c r="AT140" s="2"/>
      <c r="AU140" s="2"/>
      <c r="AV140" s="2"/>
      <c r="CE140" s="2">
        <f t="shared" si="20"/>
        <v>0</v>
      </c>
      <c r="CF140" s="19">
        <f t="shared" si="21"/>
        <v>0</v>
      </c>
      <c r="CG140" s="2">
        <f t="shared" si="22"/>
        <v>0</v>
      </c>
      <c r="CH140" s="24">
        <f t="shared" si="23"/>
        <v>0</v>
      </c>
      <c r="CI140" s="2"/>
      <c r="CJ140" s="20">
        <f t="shared" si="24"/>
        <v>0</v>
      </c>
    </row>
    <row r="141" spans="1:88" x14ac:dyDescent="0.25">
      <c r="A141" s="5"/>
      <c r="B141" s="5"/>
      <c r="C141" s="5"/>
      <c r="D141" s="5"/>
      <c r="E141" s="10">
        <f t="shared" si="18"/>
        <v>0</v>
      </c>
      <c r="F141" s="5"/>
      <c r="G141" s="21">
        <f t="shared" si="25"/>
        <v>0</v>
      </c>
      <c r="H141" s="2"/>
      <c r="I141" s="5"/>
      <c r="J141" s="5"/>
      <c r="AM141" s="2"/>
      <c r="AN141" s="2"/>
      <c r="AO141" s="2"/>
      <c r="AP141" s="2"/>
      <c r="AQ141" s="20">
        <f t="shared" si="19"/>
        <v>0</v>
      </c>
      <c r="AR141" s="2"/>
      <c r="AS141" s="29">
        <f t="shared" si="26"/>
        <v>0</v>
      </c>
      <c r="AT141" s="2"/>
      <c r="AU141" s="2"/>
      <c r="AV141" s="2"/>
      <c r="CE141" s="2">
        <f t="shared" si="20"/>
        <v>0</v>
      </c>
      <c r="CF141" s="19">
        <f t="shared" si="21"/>
        <v>0</v>
      </c>
      <c r="CG141" s="2">
        <f t="shared" si="22"/>
        <v>0</v>
      </c>
      <c r="CH141" s="24">
        <f t="shared" si="23"/>
        <v>0</v>
      </c>
      <c r="CI141" s="2"/>
      <c r="CJ141" s="20">
        <f t="shared" si="24"/>
        <v>0</v>
      </c>
    </row>
    <row r="142" spans="1:88" x14ac:dyDescent="0.25">
      <c r="A142" s="5"/>
      <c r="B142" s="5"/>
      <c r="C142" s="5"/>
      <c r="D142" s="5"/>
      <c r="E142" s="10">
        <f t="shared" si="18"/>
        <v>0</v>
      </c>
      <c r="F142" s="5"/>
      <c r="G142" s="21">
        <f t="shared" si="25"/>
        <v>0</v>
      </c>
      <c r="H142" s="2"/>
      <c r="I142" s="5"/>
      <c r="J142" s="5"/>
      <c r="AM142" s="2"/>
      <c r="AN142" s="2"/>
      <c r="AO142" s="2"/>
      <c r="AP142" s="2"/>
      <c r="AQ142" s="20">
        <f t="shared" si="19"/>
        <v>0</v>
      </c>
      <c r="AR142" s="2"/>
      <c r="AS142" s="29">
        <f t="shared" si="26"/>
        <v>0</v>
      </c>
      <c r="AT142" s="2"/>
      <c r="AU142" s="2"/>
      <c r="AV142" s="2"/>
      <c r="CE142" s="2">
        <f t="shared" si="20"/>
        <v>0</v>
      </c>
      <c r="CF142" s="19">
        <f t="shared" si="21"/>
        <v>0</v>
      </c>
      <c r="CG142" s="2">
        <f t="shared" si="22"/>
        <v>0</v>
      </c>
      <c r="CH142" s="24">
        <f t="shared" si="23"/>
        <v>0</v>
      </c>
      <c r="CI142" s="2"/>
      <c r="CJ142" s="20">
        <f t="shared" si="24"/>
        <v>0</v>
      </c>
    </row>
    <row r="143" spans="1:88" x14ac:dyDescent="0.25">
      <c r="A143" s="5"/>
      <c r="B143" s="5"/>
      <c r="C143" s="5"/>
      <c r="D143" s="5"/>
      <c r="E143" s="10">
        <f t="shared" si="18"/>
        <v>0</v>
      </c>
      <c r="F143" s="5"/>
      <c r="G143" s="21">
        <f t="shared" si="25"/>
        <v>0</v>
      </c>
      <c r="H143" s="2"/>
      <c r="I143" s="5"/>
      <c r="J143" s="5"/>
      <c r="AM143" s="2"/>
      <c r="AN143" s="2"/>
      <c r="AO143" s="2"/>
      <c r="AP143" s="2"/>
      <c r="AQ143" s="20">
        <f t="shared" si="19"/>
        <v>0</v>
      </c>
      <c r="AR143" s="2"/>
      <c r="AS143" s="29">
        <f t="shared" si="26"/>
        <v>0</v>
      </c>
      <c r="AT143" s="2"/>
      <c r="AU143" s="2"/>
      <c r="AV143" s="2"/>
      <c r="CE143" s="2">
        <f t="shared" si="20"/>
        <v>0</v>
      </c>
      <c r="CF143" s="19">
        <f t="shared" si="21"/>
        <v>0</v>
      </c>
      <c r="CG143" s="2">
        <f t="shared" si="22"/>
        <v>0</v>
      </c>
      <c r="CH143" s="24">
        <f t="shared" si="23"/>
        <v>0</v>
      </c>
      <c r="CI143" s="2"/>
      <c r="CJ143" s="20">
        <f t="shared" si="24"/>
        <v>0</v>
      </c>
    </row>
    <row r="144" spans="1:88" x14ac:dyDescent="0.25">
      <c r="A144" s="5"/>
      <c r="B144" s="5"/>
      <c r="C144" s="5"/>
      <c r="D144" s="5"/>
      <c r="E144" s="10">
        <f t="shared" si="18"/>
        <v>0</v>
      </c>
      <c r="F144" s="5"/>
      <c r="G144" s="21">
        <f t="shared" si="25"/>
        <v>0</v>
      </c>
      <c r="H144" s="2"/>
      <c r="I144" s="5"/>
      <c r="J144" s="5"/>
      <c r="AM144" s="2"/>
      <c r="AN144" s="2"/>
      <c r="AO144" s="2"/>
      <c r="AP144" s="2"/>
      <c r="AQ144" s="20">
        <f t="shared" si="19"/>
        <v>0</v>
      </c>
      <c r="AR144" s="2"/>
      <c r="AS144" s="29">
        <f t="shared" si="26"/>
        <v>0</v>
      </c>
      <c r="AT144" s="2"/>
      <c r="AU144" s="2"/>
      <c r="AV144" s="2"/>
      <c r="CE144" s="2">
        <f t="shared" si="20"/>
        <v>0</v>
      </c>
      <c r="CF144" s="19">
        <f t="shared" si="21"/>
        <v>0</v>
      </c>
      <c r="CG144" s="2">
        <f t="shared" si="22"/>
        <v>0</v>
      </c>
      <c r="CH144" s="24">
        <f t="shared" si="23"/>
        <v>0</v>
      </c>
      <c r="CI144" s="2"/>
      <c r="CJ144" s="20">
        <f t="shared" si="24"/>
        <v>0</v>
      </c>
    </row>
    <row r="145" spans="1:88" x14ac:dyDescent="0.25">
      <c r="A145" s="5"/>
      <c r="B145" s="5"/>
      <c r="C145" s="5"/>
      <c r="D145" s="5"/>
      <c r="E145" s="10">
        <f t="shared" si="18"/>
        <v>0</v>
      </c>
      <c r="F145" s="5"/>
      <c r="G145" s="21">
        <f t="shared" si="25"/>
        <v>0</v>
      </c>
      <c r="H145" s="2"/>
      <c r="I145" s="5"/>
      <c r="J145" s="5"/>
      <c r="AM145" s="2"/>
      <c r="AN145" s="2"/>
      <c r="AO145" s="2"/>
      <c r="AP145" s="2"/>
      <c r="AQ145" s="20">
        <f t="shared" si="19"/>
        <v>0</v>
      </c>
      <c r="AR145" s="2"/>
      <c r="AS145" s="29">
        <f t="shared" si="26"/>
        <v>0</v>
      </c>
      <c r="AT145" s="2"/>
      <c r="AU145" s="2"/>
      <c r="AV145" s="2"/>
      <c r="CE145" s="2">
        <f t="shared" si="20"/>
        <v>0</v>
      </c>
      <c r="CF145" s="19">
        <f t="shared" si="21"/>
        <v>0</v>
      </c>
      <c r="CG145" s="2">
        <f t="shared" si="22"/>
        <v>0</v>
      </c>
      <c r="CH145" s="24">
        <f t="shared" si="23"/>
        <v>0</v>
      </c>
      <c r="CI145" s="2"/>
      <c r="CJ145" s="20">
        <f t="shared" si="24"/>
        <v>0</v>
      </c>
    </row>
    <row r="146" spans="1:88" x14ac:dyDescent="0.25">
      <c r="A146" s="5"/>
      <c r="B146" s="5"/>
      <c r="C146" s="5"/>
      <c r="D146" s="5"/>
      <c r="E146" s="10">
        <f t="shared" si="18"/>
        <v>0</v>
      </c>
      <c r="F146" s="5"/>
      <c r="G146" s="21">
        <f t="shared" si="25"/>
        <v>0</v>
      </c>
      <c r="H146" s="2"/>
      <c r="I146" s="5"/>
      <c r="J146" s="5"/>
      <c r="AM146" s="2"/>
      <c r="AN146" s="2"/>
      <c r="AO146" s="2"/>
      <c r="AP146" s="2"/>
      <c r="AQ146" s="20">
        <f t="shared" si="19"/>
        <v>0</v>
      </c>
      <c r="AR146" s="2"/>
      <c r="AS146" s="29">
        <f t="shared" si="26"/>
        <v>0</v>
      </c>
      <c r="AT146" s="2"/>
      <c r="AU146" s="2"/>
      <c r="AV146" s="2"/>
      <c r="CE146" s="2">
        <f t="shared" si="20"/>
        <v>0</v>
      </c>
      <c r="CF146" s="19">
        <f t="shared" si="21"/>
        <v>0</v>
      </c>
      <c r="CG146" s="2">
        <f t="shared" si="22"/>
        <v>0</v>
      </c>
      <c r="CH146" s="24">
        <f t="shared" si="23"/>
        <v>0</v>
      </c>
      <c r="CI146" s="2"/>
      <c r="CJ146" s="20">
        <f t="shared" si="24"/>
        <v>0</v>
      </c>
    </row>
    <row r="147" spans="1:88" x14ac:dyDescent="0.25">
      <c r="A147" s="5"/>
      <c r="B147" s="5"/>
      <c r="C147" s="5"/>
      <c r="D147" s="5"/>
      <c r="E147" s="10">
        <f t="shared" si="18"/>
        <v>0</v>
      </c>
      <c r="F147" s="5"/>
      <c r="G147" s="21">
        <f t="shared" si="25"/>
        <v>0</v>
      </c>
      <c r="H147" s="2"/>
      <c r="I147" s="5"/>
      <c r="J147" s="5"/>
      <c r="AM147" s="2"/>
      <c r="AN147" s="2"/>
      <c r="AO147" s="2"/>
      <c r="AP147" s="2"/>
      <c r="AQ147" s="20">
        <f t="shared" si="19"/>
        <v>0</v>
      </c>
      <c r="AR147" s="2"/>
      <c r="AS147" s="29">
        <f t="shared" si="26"/>
        <v>0</v>
      </c>
      <c r="AT147" s="2"/>
      <c r="AU147" s="2"/>
      <c r="AV147" s="2"/>
      <c r="CE147" s="2">
        <f t="shared" si="20"/>
        <v>0</v>
      </c>
      <c r="CF147" s="19">
        <f t="shared" si="21"/>
        <v>0</v>
      </c>
      <c r="CG147" s="2">
        <f t="shared" si="22"/>
        <v>0</v>
      </c>
      <c r="CH147" s="24">
        <f t="shared" si="23"/>
        <v>0</v>
      </c>
      <c r="CI147" s="2"/>
      <c r="CJ147" s="20">
        <f t="shared" si="24"/>
        <v>0</v>
      </c>
    </row>
    <row r="148" spans="1:88" x14ac:dyDescent="0.25">
      <c r="A148" s="5"/>
      <c r="B148" s="5"/>
      <c r="C148" s="5"/>
      <c r="D148" s="5"/>
      <c r="E148" s="10">
        <f t="shared" si="18"/>
        <v>0</v>
      </c>
      <c r="F148" s="5"/>
      <c r="G148" s="21">
        <f t="shared" si="25"/>
        <v>0</v>
      </c>
      <c r="H148" s="2"/>
      <c r="I148" s="5"/>
      <c r="J148" s="5"/>
      <c r="AM148" s="2"/>
      <c r="AN148" s="2"/>
      <c r="AO148" s="2"/>
      <c r="AP148" s="2"/>
      <c r="AQ148" s="20">
        <f t="shared" si="19"/>
        <v>0</v>
      </c>
      <c r="AR148" s="2"/>
      <c r="AS148" s="29">
        <f t="shared" si="26"/>
        <v>0</v>
      </c>
      <c r="AT148" s="2"/>
      <c r="AU148" s="2"/>
      <c r="AV148" s="2"/>
      <c r="CE148" s="2">
        <f t="shared" si="20"/>
        <v>0</v>
      </c>
      <c r="CF148" s="19">
        <f t="shared" si="21"/>
        <v>0</v>
      </c>
      <c r="CG148" s="2">
        <f t="shared" si="22"/>
        <v>0</v>
      </c>
      <c r="CH148" s="24">
        <f t="shared" si="23"/>
        <v>0</v>
      </c>
      <c r="CI148" s="2"/>
      <c r="CJ148" s="20">
        <f t="shared" si="24"/>
        <v>0</v>
      </c>
    </row>
    <row r="149" spans="1:88" x14ac:dyDescent="0.25">
      <c r="A149" s="5"/>
      <c r="B149" s="5"/>
      <c r="C149" s="5"/>
      <c r="D149" s="5"/>
      <c r="E149" s="10">
        <f t="shared" si="18"/>
        <v>0</v>
      </c>
      <c r="F149" s="5"/>
      <c r="G149" s="21">
        <f t="shared" si="25"/>
        <v>0</v>
      </c>
      <c r="H149" s="2"/>
      <c r="I149" s="5"/>
      <c r="J149" s="5"/>
      <c r="AM149" s="2"/>
      <c r="AN149" s="2"/>
      <c r="AO149" s="2"/>
      <c r="AP149" s="2"/>
      <c r="AQ149" s="20">
        <f t="shared" si="19"/>
        <v>0</v>
      </c>
      <c r="AR149" s="2"/>
      <c r="AS149" s="29">
        <f t="shared" si="26"/>
        <v>0</v>
      </c>
      <c r="AT149" s="2"/>
      <c r="AU149" s="2"/>
      <c r="AV149" s="2"/>
      <c r="CE149" s="2">
        <f t="shared" si="20"/>
        <v>0</v>
      </c>
      <c r="CF149" s="19">
        <f t="shared" si="21"/>
        <v>0</v>
      </c>
      <c r="CG149" s="2">
        <f t="shared" si="22"/>
        <v>0</v>
      </c>
      <c r="CH149" s="24">
        <f t="shared" si="23"/>
        <v>0</v>
      </c>
      <c r="CI149" s="2"/>
      <c r="CJ149" s="20">
        <f t="shared" si="24"/>
        <v>0</v>
      </c>
    </row>
    <row r="150" spans="1:88" x14ac:dyDescent="0.25">
      <c r="A150" s="5"/>
      <c r="B150" s="5"/>
      <c r="C150" s="5"/>
      <c r="D150" s="5"/>
      <c r="E150" s="10">
        <f t="shared" si="18"/>
        <v>0</v>
      </c>
      <c r="F150" s="5"/>
      <c r="G150" s="21">
        <f t="shared" si="25"/>
        <v>0</v>
      </c>
      <c r="H150" s="2"/>
      <c r="I150" s="5"/>
      <c r="J150" s="5"/>
      <c r="AM150" s="2"/>
      <c r="AN150" s="2"/>
      <c r="AO150" s="2"/>
      <c r="AP150" s="2"/>
      <c r="AQ150" s="20">
        <f t="shared" si="19"/>
        <v>0</v>
      </c>
      <c r="AR150" s="2"/>
      <c r="AS150" s="29">
        <f t="shared" si="26"/>
        <v>0</v>
      </c>
      <c r="AT150" s="2"/>
      <c r="AU150" s="2"/>
      <c r="AV150" s="2"/>
      <c r="CE150" s="2">
        <f t="shared" si="20"/>
        <v>0</v>
      </c>
      <c r="CF150" s="19">
        <f t="shared" si="21"/>
        <v>0</v>
      </c>
      <c r="CG150" s="2">
        <f t="shared" si="22"/>
        <v>0</v>
      </c>
      <c r="CH150" s="24">
        <f t="shared" si="23"/>
        <v>0</v>
      </c>
      <c r="CI150" s="2"/>
      <c r="CJ150" s="20">
        <f t="shared" si="24"/>
        <v>0</v>
      </c>
    </row>
    <row r="151" spans="1:88" x14ac:dyDescent="0.25">
      <c r="A151" s="5"/>
      <c r="B151" s="5"/>
      <c r="C151" s="5"/>
      <c r="D151" s="5"/>
      <c r="E151" s="10">
        <f t="shared" si="18"/>
        <v>0</v>
      </c>
      <c r="F151" s="5"/>
      <c r="G151" s="21">
        <f t="shared" si="25"/>
        <v>0</v>
      </c>
      <c r="H151" s="2"/>
      <c r="I151" s="5"/>
      <c r="J151" s="5"/>
      <c r="AM151" s="2"/>
      <c r="AN151" s="2"/>
      <c r="AO151" s="2"/>
      <c r="AP151" s="2"/>
      <c r="AQ151" s="20">
        <f t="shared" si="19"/>
        <v>0</v>
      </c>
      <c r="AR151" s="2"/>
      <c r="AS151" s="29">
        <f t="shared" si="26"/>
        <v>0</v>
      </c>
      <c r="AT151" s="2"/>
      <c r="AU151" s="2"/>
      <c r="AV151" s="2"/>
      <c r="CE151" s="2">
        <f t="shared" si="20"/>
        <v>0</v>
      </c>
      <c r="CF151" s="19">
        <f t="shared" si="21"/>
        <v>0</v>
      </c>
      <c r="CG151" s="2">
        <f t="shared" si="22"/>
        <v>0</v>
      </c>
      <c r="CH151" s="24">
        <f t="shared" si="23"/>
        <v>0</v>
      </c>
      <c r="CI151" s="2"/>
      <c r="CJ151" s="20">
        <f t="shared" si="24"/>
        <v>0</v>
      </c>
    </row>
    <row r="152" spans="1:88" x14ac:dyDescent="0.25">
      <c r="A152" s="5"/>
      <c r="B152" s="5"/>
      <c r="C152" s="5"/>
      <c r="D152" s="5"/>
      <c r="E152" s="10">
        <f t="shared" si="18"/>
        <v>0</v>
      </c>
      <c r="F152" s="5"/>
      <c r="G152" s="21">
        <f t="shared" si="25"/>
        <v>0</v>
      </c>
      <c r="H152" s="2"/>
      <c r="I152" s="5"/>
      <c r="J152" s="5"/>
      <c r="AM152" s="2"/>
      <c r="AN152" s="2"/>
      <c r="AO152" s="2"/>
      <c r="AP152" s="2"/>
      <c r="AQ152" s="20">
        <f t="shared" si="19"/>
        <v>0</v>
      </c>
      <c r="AR152" s="2"/>
      <c r="AS152" s="29">
        <f t="shared" si="26"/>
        <v>0</v>
      </c>
      <c r="AT152" s="2"/>
      <c r="AU152" s="2"/>
      <c r="AV152" s="2"/>
      <c r="CE152" s="2">
        <f t="shared" si="20"/>
        <v>0</v>
      </c>
      <c r="CF152" s="19">
        <f t="shared" si="21"/>
        <v>0</v>
      </c>
      <c r="CG152" s="2">
        <f t="shared" si="22"/>
        <v>0</v>
      </c>
      <c r="CH152" s="24">
        <f t="shared" si="23"/>
        <v>0</v>
      </c>
      <c r="CI152" s="2"/>
      <c r="CJ152" s="20">
        <f t="shared" si="24"/>
        <v>0</v>
      </c>
    </row>
    <row r="153" spans="1:88" x14ac:dyDescent="0.25">
      <c r="A153" s="5"/>
      <c r="B153" s="5"/>
      <c r="C153" s="5"/>
      <c r="D153" s="5"/>
      <c r="E153" s="10">
        <f t="shared" si="18"/>
        <v>0</v>
      </c>
      <c r="F153" s="5"/>
      <c r="G153" s="21">
        <f t="shared" si="25"/>
        <v>0</v>
      </c>
      <c r="H153" s="2"/>
      <c r="I153" s="5"/>
      <c r="J153" s="5"/>
      <c r="AM153" s="2"/>
      <c r="AN153" s="2"/>
      <c r="AO153" s="2"/>
      <c r="AP153" s="2"/>
      <c r="AQ153" s="20">
        <f t="shared" si="19"/>
        <v>0</v>
      </c>
      <c r="AR153" s="2"/>
      <c r="AS153" s="29">
        <f t="shared" si="26"/>
        <v>0</v>
      </c>
      <c r="AT153" s="2"/>
      <c r="AU153" s="2"/>
      <c r="AV153" s="2"/>
      <c r="CE153" s="2">
        <f t="shared" si="20"/>
        <v>0</v>
      </c>
      <c r="CF153" s="19">
        <f t="shared" si="21"/>
        <v>0</v>
      </c>
      <c r="CG153" s="2">
        <f t="shared" si="22"/>
        <v>0</v>
      </c>
      <c r="CH153" s="24">
        <f t="shared" si="23"/>
        <v>0</v>
      </c>
      <c r="CI153" s="2"/>
      <c r="CJ153" s="41">
        <f t="shared" si="24"/>
        <v>0</v>
      </c>
    </row>
    <row r="154" spans="1:88" x14ac:dyDescent="0.25">
      <c r="A154" s="5"/>
      <c r="B154" s="5"/>
      <c r="C154" s="5"/>
      <c r="D154" s="5"/>
      <c r="E154" s="32">
        <f t="shared" si="18"/>
        <v>0</v>
      </c>
      <c r="F154" s="5"/>
      <c r="G154" s="42">
        <f t="shared" si="25"/>
        <v>0</v>
      </c>
      <c r="H154" s="2"/>
      <c r="I154" s="5"/>
      <c r="J154" s="5"/>
      <c r="AM154" s="2"/>
      <c r="AN154" s="2"/>
      <c r="AO154" s="2"/>
      <c r="AP154" s="2"/>
      <c r="AQ154" s="41">
        <f t="shared" si="19"/>
        <v>0</v>
      </c>
      <c r="AR154" s="2"/>
      <c r="AS154" s="46">
        <f t="shared" si="26"/>
        <v>0</v>
      </c>
      <c r="AT154" s="2"/>
      <c r="AU154" s="2"/>
      <c r="AV154" s="2"/>
      <c r="CE154" s="2">
        <f t="shared" si="20"/>
        <v>0</v>
      </c>
      <c r="CF154" s="19">
        <f t="shared" si="21"/>
        <v>0</v>
      </c>
      <c r="CG154" s="2">
        <f t="shared" si="22"/>
        <v>0</v>
      </c>
      <c r="CH154" s="24">
        <f t="shared" si="23"/>
        <v>0</v>
      </c>
      <c r="CI154" s="2"/>
      <c r="CJ154" s="20">
        <f t="shared" si="24"/>
        <v>0</v>
      </c>
    </row>
    <row r="155" spans="1:88" x14ac:dyDescent="0.25">
      <c r="A155" s="5"/>
      <c r="B155" s="5"/>
      <c r="C155" s="5"/>
      <c r="D155" s="5"/>
      <c r="E155" s="10">
        <f t="shared" si="18"/>
        <v>0</v>
      </c>
      <c r="F155" s="5"/>
      <c r="G155" s="21">
        <f t="shared" si="25"/>
        <v>0</v>
      </c>
      <c r="H155" s="2"/>
      <c r="I155" s="5"/>
      <c r="J155" s="5"/>
      <c r="AM155" s="2"/>
      <c r="AN155" s="2"/>
      <c r="AO155" s="2"/>
      <c r="AP155" s="2"/>
      <c r="AQ155" s="20">
        <f t="shared" si="19"/>
        <v>0</v>
      </c>
      <c r="AR155" s="2"/>
      <c r="AS155" s="29">
        <f t="shared" si="26"/>
        <v>0</v>
      </c>
      <c r="AT155" s="2"/>
      <c r="AU155" s="2"/>
      <c r="AV155" s="2"/>
      <c r="CE155" s="2">
        <f t="shared" si="20"/>
        <v>0</v>
      </c>
      <c r="CF155" s="19">
        <f t="shared" si="21"/>
        <v>0</v>
      </c>
      <c r="CG155" s="2">
        <f t="shared" si="22"/>
        <v>0</v>
      </c>
      <c r="CH155" s="24">
        <f t="shared" si="23"/>
        <v>0</v>
      </c>
      <c r="CI155" s="2"/>
      <c r="CJ155" s="20">
        <f t="shared" si="24"/>
        <v>0</v>
      </c>
    </row>
    <row r="156" spans="1:88" x14ac:dyDescent="0.25">
      <c r="A156" s="5"/>
      <c r="B156" s="5"/>
      <c r="C156" s="5"/>
      <c r="D156" s="5"/>
      <c r="E156" s="10">
        <f t="shared" si="18"/>
        <v>0</v>
      </c>
      <c r="F156" s="5"/>
      <c r="G156" s="21">
        <f t="shared" si="25"/>
        <v>0</v>
      </c>
      <c r="H156" s="2"/>
      <c r="I156" s="5"/>
      <c r="J156" s="5"/>
      <c r="AM156" s="2"/>
      <c r="AN156" s="2"/>
      <c r="AO156" s="2"/>
      <c r="AP156" s="2"/>
      <c r="AQ156" s="20">
        <f t="shared" si="19"/>
        <v>0</v>
      </c>
      <c r="AR156" s="2"/>
      <c r="AS156" s="29">
        <f t="shared" si="26"/>
        <v>0</v>
      </c>
      <c r="AT156" s="2"/>
      <c r="AU156" s="2"/>
      <c r="AV156" s="2"/>
      <c r="CE156" s="2">
        <f t="shared" si="20"/>
        <v>0</v>
      </c>
      <c r="CF156" s="19">
        <f t="shared" si="21"/>
        <v>0</v>
      </c>
      <c r="CG156" s="2">
        <f t="shared" si="22"/>
        <v>0</v>
      </c>
      <c r="CH156" s="24">
        <f t="shared" si="23"/>
        <v>0</v>
      </c>
      <c r="CI156" s="2"/>
      <c r="CJ156" s="20">
        <f t="shared" si="24"/>
        <v>0</v>
      </c>
    </row>
    <row r="157" spans="1:88" x14ac:dyDescent="0.25">
      <c r="A157" s="5"/>
      <c r="B157" s="5"/>
      <c r="C157" s="5"/>
      <c r="D157" s="5"/>
      <c r="E157" s="10">
        <f t="shared" si="18"/>
        <v>0</v>
      </c>
      <c r="F157" s="5"/>
      <c r="G157" s="21">
        <f t="shared" si="25"/>
        <v>0</v>
      </c>
      <c r="H157" s="2"/>
      <c r="I157" s="5"/>
      <c r="J157" s="5"/>
      <c r="AM157" s="2"/>
      <c r="AN157" s="2"/>
      <c r="AO157" s="2"/>
      <c r="AP157" s="2"/>
      <c r="AQ157" s="20">
        <f t="shared" si="19"/>
        <v>0</v>
      </c>
      <c r="AR157" s="2"/>
      <c r="AS157" s="29">
        <f t="shared" si="26"/>
        <v>0</v>
      </c>
      <c r="AT157" s="2"/>
      <c r="AU157" s="2"/>
      <c r="AV157" s="2"/>
      <c r="CE157" s="2">
        <f t="shared" si="20"/>
        <v>0</v>
      </c>
      <c r="CF157" s="19">
        <f t="shared" si="21"/>
        <v>0</v>
      </c>
      <c r="CG157" s="2">
        <f t="shared" si="22"/>
        <v>0</v>
      </c>
      <c r="CH157" s="24">
        <f t="shared" si="23"/>
        <v>0</v>
      </c>
      <c r="CI157" s="2"/>
      <c r="CJ157" s="20">
        <f t="shared" si="24"/>
        <v>0</v>
      </c>
    </row>
    <row r="158" spans="1:88" x14ac:dyDescent="0.25">
      <c r="A158" s="5"/>
      <c r="B158" s="5"/>
      <c r="C158" s="5"/>
      <c r="D158" s="5"/>
      <c r="E158" s="10">
        <f t="shared" si="18"/>
        <v>0</v>
      </c>
      <c r="F158" s="5"/>
      <c r="G158" s="21">
        <f t="shared" si="25"/>
        <v>0</v>
      </c>
      <c r="H158" s="2"/>
      <c r="I158" s="5"/>
      <c r="J158" s="5"/>
      <c r="AM158" s="2"/>
      <c r="AN158" s="2"/>
      <c r="AO158" s="2"/>
      <c r="AP158" s="2"/>
      <c r="AQ158" s="20">
        <f t="shared" si="19"/>
        <v>0</v>
      </c>
      <c r="AR158" s="2"/>
      <c r="AS158" s="29">
        <f t="shared" si="26"/>
        <v>0</v>
      </c>
      <c r="AT158" s="2"/>
      <c r="AU158" s="2"/>
      <c r="AV158" s="2"/>
      <c r="CE158" s="2">
        <f t="shared" si="20"/>
        <v>0</v>
      </c>
      <c r="CF158" s="19">
        <f t="shared" si="21"/>
        <v>0</v>
      </c>
      <c r="CG158" s="2">
        <f t="shared" si="22"/>
        <v>0</v>
      </c>
      <c r="CH158" s="24">
        <f t="shared" si="23"/>
        <v>0</v>
      </c>
      <c r="CI158" s="2"/>
      <c r="CJ158" s="20">
        <f t="shared" si="24"/>
        <v>0</v>
      </c>
    </row>
    <row r="159" spans="1:88" x14ac:dyDescent="0.25">
      <c r="A159" s="5"/>
      <c r="B159" s="5"/>
      <c r="C159" s="5"/>
      <c r="D159" s="5"/>
      <c r="E159" s="10">
        <f t="shared" si="18"/>
        <v>0</v>
      </c>
      <c r="F159" s="5"/>
      <c r="G159" s="21">
        <f t="shared" si="25"/>
        <v>0</v>
      </c>
      <c r="H159" s="2"/>
      <c r="I159" s="5"/>
      <c r="J159" s="5"/>
      <c r="AM159" s="2"/>
      <c r="AN159" s="2"/>
      <c r="AO159" s="2"/>
      <c r="AP159" s="2"/>
      <c r="AQ159" s="20">
        <f t="shared" si="19"/>
        <v>0</v>
      </c>
      <c r="AR159" s="2"/>
      <c r="AS159" s="29">
        <f t="shared" si="26"/>
        <v>0</v>
      </c>
      <c r="AT159" s="2"/>
      <c r="AU159" s="2"/>
      <c r="AV159" s="2"/>
      <c r="CE159" s="2">
        <f t="shared" si="20"/>
        <v>0</v>
      </c>
      <c r="CF159" s="19">
        <f t="shared" si="21"/>
        <v>0</v>
      </c>
      <c r="CG159" s="2">
        <f t="shared" si="22"/>
        <v>0</v>
      </c>
      <c r="CH159" s="24">
        <f t="shared" si="23"/>
        <v>0</v>
      </c>
      <c r="CI159" s="2"/>
      <c r="CJ159" s="20">
        <f t="shared" si="24"/>
        <v>0</v>
      </c>
    </row>
    <row r="160" spans="1:88" x14ac:dyDescent="0.25">
      <c r="A160" s="5"/>
      <c r="B160" s="5"/>
      <c r="C160" s="5"/>
      <c r="D160" s="5"/>
      <c r="E160" s="10">
        <f t="shared" si="18"/>
        <v>0</v>
      </c>
      <c r="F160" s="5"/>
      <c r="G160" s="21">
        <f t="shared" si="25"/>
        <v>0</v>
      </c>
      <c r="H160" s="2"/>
      <c r="I160" s="5"/>
      <c r="J160" s="5"/>
      <c r="AM160" s="2"/>
      <c r="AN160" s="2"/>
      <c r="AO160" s="2"/>
      <c r="AP160" s="2"/>
      <c r="AQ160" s="20">
        <f t="shared" si="19"/>
        <v>0</v>
      </c>
      <c r="AR160" s="2"/>
      <c r="AS160" s="29">
        <f t="shared" si="26"/>
        <v>0</v>
      </c>
      <c r="AT160" s="2"/>
      <c r="AU160" s="2"/>
      <c r="AV160" s="2"/>
      <c r="CE160" s="2">
        <f t="shared" si="20"/>
        <v>0</v>
      </c>
      <c r="CF160" s="19">
        <f t="shared" si="21"/>
        <v>0</v>
      </c>
      <c r="CG160" s="2">
        <f t="shared" si="22"/>
        <v>0</v>
      </c>
      <c r="CH160" s="24">
        <f t="shared" si="23"/>
        <v>0</v>
      </c>
      <c r="CI160" s="2"/>
      <c r="CJ160" s="20">
        <f t="shared" si="24"/>
        <v>0</v>
      </c>
    </row>
    <row r="161" spans="1:88" x14ac:dyDescent="0.25">
      <c r="A161" s="5"/>
      <c r="B161" s="5"/>
      <c r="C161" s="5"/>
      <c r="D161" s="5"/>
      <c r="E161" s="10">
        <f t="shared" si="18"/>
        <v>0</v>
      </c>
      <c r="F161" s="5"/>
      <c r="G161" s="21">
        <f t="shared" si="25"/>
        <v>0</v>
      </c>
      <c r="H161" s="2"/>
      <c r="I161" s="5"/>
      <c r="J161" s="5"/>
      <c r="AM161" s="2"/>
      <c r="AN161" s="2"/>
      <c r="AO161" s="2"/>
      <c r="AP161" s="2"/>
      <c r="AQ161" s="20">
        <f t="shared" si="19"/>
        <v>0</v>
      </c>
      <c r="AR161" s="2"/>
      <c r="AS161" s="29">
        <f t="shared" si="26"/>
        <v>0</v>
      </c>
      <c r="AT161" s="2"/>
      <c r="AU161" s="2"/>
      <c r="AV161" s="2"/>
      <c r="CE161" s="2">
        <f t="shared" si="20"/>
        <v>0</v>
      </c>
      <c r="CF161" s="19">
        <f t="shared" si="21"/>
        <v>0</v>
      </c>
      <c r="CG161" s="2">
        <f t="shared" si="22"/>
        <v>0</v>
      </c>
      <c r="CH161" s="24">
        <f t="shared" si="23"/>
        <v>0</v>
      </c>
      <c r="CI161" s="2"/>
      <c r="CJ161" s="20">
        <f t="shared" si="24"/>
        <v>0</v>
      </c>
    </row>
    <row r="162" spans="1:88" x14ac:dyDescent="0.25">
      <c r="A162" s="5"/>
      <c r="B162" s="5"/>
      <c r="C162" s="5"/>
      <c r="D162" s="5"/>
      <c r="E162" s="10">
        <f t="shared" si="18"/>
        <v>0</v>
      </c>
      <c r="F162" s="5"/>
      <c r="G162" s="21">
        <f t="shared" si="25"/>
        <v>0</v>
      </c>
      <c r="H162" s="2"/>
      <c r="I162" s="5"/>
      <c r="J162" s="5"/>
      <c r="AM162" s="2"/>
      <c r="AN162" s="2"/>
      <c r="AO162" s="2"/>
      <c r="AP162" s="2"/>
      <c r="AQ162" s="20">
        <f t="shared" si="19"/>
        <v>0</v>
      </c>
      <c r="AR162" s="2"/>
      <c r="AS162" s="29">
        <f t="shared" si="26"/>
        <v>0</v>
      </c>
      <c r="AT162" s="2"/>
      <c r="AU162" s="2"/>
      <c r="AV162" s="2"/>
      <c r="CE162" s="2">
        <f t="shared" si="20"/>
        <v>0</v>
      </c>
      <c r="CF162" s="19">
        <f t="shared" si="21"/>
        <v>0</v>
      </c>
      <c r="CG162" s="2">
        <f t="shared" si="22"/>
        <v>0</v>
      </c>
      <c r="CH162" s="24">
        <f t="shared" si="23"/>
        <v>0</v>
      </c>
      <c r="CI162" s="2"/>
      <c r="CJ162" s="20">
        <f t="shared" si="24"/>
        <v>0</v>
      </c>
    </row>
    <row r="163" spans="1:88" x14ac:dyDescent="0.25">
      <c r="A163" s="5"/>
      <c r="B163" s="5"/>
      <c r="C163" s="5"/>
      <c r="D163" s="5"/>
      <c r="E163" s="10">
        <f t="shared" si="18"/>
        <v>0</v>
      </c>
      <c r="F163" s="5"/>
      <c r="G163" s="21">
        <f t="shared" si="25"/>
        <v>0</v>
      </c>
      <c r="H163" s="2"/>
      <c r="I163" s="5"/>
      <c r="J163" s="5"/>
      <c r="AM163" s="2"/>
      <c r="AN163" s="2"/>
      <c r="AO163" s="2"/>
      <c r="AP163" s="2"/>
      <c r="AQ163" s="20">
        <f t="shared" si="19"/>
        <v>0</v>
      </c>
      <c r="AR163" s="2"/>
      <c r="AS163" s="29">
        <f t="shared" si="26"/>
        <v>0</v>
      </c>
      <c r="AT163" s="2"/>
      <c r="AU163" s="2"/>
      <c r="AV163" s="2"/>
      <c r="CE163" s="2">
        <f t="shared" si="20"/>
        <v>0</v>
      </c>
      <c r="CF163" s="19">
        <f t="shared" si="21"/>
        <v>0</v>
      </c>
      <c r="CG163" s="2">
        <f t="shared" si="22"/>
        <v>0</v>
      </c>
      <c r="CH163" s="24">
        <f t="shared" si="23"/>
        <v>0</v>
      </c>
      <c r="CI163" s="2"/>
      <c r="CJ163" s="20">
        <f t="shared" si="24"/>
        <v>0</v>
      </c>
    </row>
    <row r="164" spans="1:88" x14ac:dyDescent="0.25">
      <c r="A164" s="5"/>
      <c r="B164" s="5"/>
      <c r="C164" s="5"/>
      <c r="D164" s="5"/>
      <c r="E164" s="10">
        <f t="shared" si="18"/>
        <v>0</v>
      </c>
      <c r="F164" s="5"/>
      <c r="G164" s="21">
        <f t="shared" si="25"/>
        <v>0</v>
      </c>
      <c r="H164" s="2"/>
      <c r="I164" s="5"/>
      <c r="J164" s="5"/>
      <c r="AM164" s="2"/>
      <c r="AN164" s="2"/>
      <c r="AO164" s="2"/>
      <c r="AP164" s="2"/>
      <c r="AQ164" s="20">
        <f t="shared" si="19"/>
        <v>0</v>
      </c>
      <c r="AR164" s="2"/>
      <c r="AS164" s="29">
        <f t="shared" si="26"/>
        <v>0</v>
      </c>
      <c r="AT164" s="2"/>
      <c r="AU164" s="2"/>
      <c r="AV164" s="2"/>
      <c r="CE164" s="2">
        <f t="shared" si="20"/>
        <v>0</v>
      </c>
      <c r="CF164" s="19">
        <f t="shared" si="21"/>
        <v>0</v>
      </c>
      <c r="CG164" s="2">
        <f t="shared" si="22"/>
        <v>0</v>
      </c>
      <c r="CH164" s="24">
        <f t="shared" si="23"/>
        <v>0</v>
      </c>
      <c r="CI164" s="2"/>
      <c r="CJ164" s="20">
        <f t="shared" si="24"/>
        <v>0</v>
      </c>
    </row>
    <row r="165" spans="1:88" x14ac:dyDescent="0.25">
      <c r="A165" s="5"/>
      <c r="B165" s="5"/>
      <c r="C165" s="5"/>
      <c r="D165" s="5"/>
      <c r="E165" s="10">
        <f t="shared" si="18"/>
        <v>0</v>
      </c>
      <c r="F165" s="5"/>
      <c r="G165" s="21">
        <f t="shared" si="25"/>
        <v>0</v>
      </c>
      <c r="H165" s="2"/>
      <c r="I165" s="5"/>
      <c r="J165" s="5"/>
      <c r="AM165" s="2"/>
      <c r="AN165" s="2"/>
      <c r="AO165" s="2"/>
      <c r="AP165" s="2"/>
      <c r="AQ165" s="20">
        <f t="shared" si="19"/>
        <v>0</v>
      </c>
      <c r="AR165" s="2"/>
      <c r="AS165" s="29">
        <f t="shared" si="26"/>
        <v>0</v>
      </c>
      <c r="AT165" s="2"/>
      <c r="AU165" s="2"/>
      <c r="AV165" s="2"/>
      <c r="CE165" s="2">
        <f t="shared" si="20"/>
        <v>0</v>
      </c>
      <c r="CF165" s="19">
        <f t="shared" si="21"/>
        <v>0</v>
      </c>
      <c r="CG165" s="2">
        <f t="shared" si="22"/>
        <v>0</v>
      </c>
      <c r="CH165" s="24">
        <f t="shared" si="23"/>
        <v>0</v>
      </c>
      <c r="CI165" s="2"/>
      <c r="CJ165" s="20">
        <f t="shared" si="24"/>
        <v>0</v>
      </c>
    </row>
    <row r="166" spans="1:88" x14ac:dyDescent="0.25">
      <c r="A166" s="5"/>
      <c r="B166" s="5"/>
      <c r="C166" s="5"/>
      <c r="D166" s="5"/>
      <c r="E166" s="10">
        <f t="shared" si="18"/>
        <v>0</v>
      </c>
      <c r="F166" s="5"/>
      <c r="G166" s="21">
        <f t="shared" si="25"/>
        <v>0</v>
      </c>
      <c r="H166" s="2"/>
      <c r="I166" s="5"/>
      <c r="J166" s="5"/>
      <c r="AM166" s="2"/>
      <c r="AN166" s="2"/>
      <c r="AO166" s="2"/>
      <c r="AP166" s="2"/>
      <c r="AQ166" s="20">
        <f t="shared" si="19"/>
        <v>0</v>
      </c>
      <c r="AR166" s="2"/>
      <c r="AS166" s="29">
        <f t="shared" si="26"/>
        <v>0</v>
      </c>
      <c r="AT166" s="2"/>
      <c r="AU166" s="2"/>
      <c r="AV166" s="2"/>
      <c r="CE166" s="2">
        <f t="shared" si="20"/>
        <v>0</v>
      </c>
      <c r="CF166" s="19">
        <f t="shared" si="21"/>
        <v>0</v>
      </c>
      <c r="CG166" s="2">
        <f t="shared" si="22"/>
        <v>0</v>
      </c>
      <c r="CH166" s="24">
        <f t="shared" si="23"/>
        <v>0</v>
      </c>
      <c r="CI166" s="2"/>
      <c r="CJ166" s="20">
        <f t="shared" si="24"/>
        <v>0</v>
      </c>
    </row>
    <row r="167" spans="1:88" x14ac:dyDescent="0.25">
      <c r="A167" s="5"/>
      <c r="B167" s="5"/>
      <c r="C167" s="5"/>
      <c r="D167" s="5"/>
      <c r="E167" s="10">
        <f t="shared" si="18"/>
        <v>0</v>
      </c>
      <c r="F167" s="5"/>
      <c r="G167" s="21">
        <f t="shared" si="25"/>
        <v>0</v>
      </c>
      <c r="H167" s="2"/>
      <c r="I167" s="5"/>
      <c r="J167" s="5"/>
      <c r="AM167" s="2"/>
      <c r="AN167" s="2"/>
      <c r="AO167" s="2"/>
      <c r="AP167" s="2"/>
      <c r="AQ167" s="20">
        <f t="shared" si="19"/>
        <v>0</v>
      </c>
      <c r="AR167" s="2"/>
      <c r="AS167" s="29">
        <f t="shared" si="26"/>
        <v>0</v>
      </c>
      <c r="AT167" s="2"/>
      <c r="AU167" s="2"/>
      <c r="AV167" s="2"/>
      <c r="CE167" s="2">
        <f t="shared" si="20"/>
        <v>0</v>
      </c>
      <c r="CF167" s="19">
        <f t="shared" si="21"/>
        <v>0</v>
      </c>
      <c r="CG167" s="2">
        <f t="shared" si="22"/>
        <v>0</v>
      </c>
      <c r="CH167" s="24">
        <f t="shared" si="23"/>
        <v>0</v>
      </c>
      <c r="CI167" s="2"/>
      <c r="CJ167" s="20">
        <f t="shared" si="24"/>
        <v>0</v>
      </c>
    </row>
    <row r="168" spans="1:88" x14ac:dyDescent="0.25">
      <c r="A168" s="5"/>
      <c r="B168" s="5"/>
      <c r="C168" s="5"/>
      <c r="D168" s="5"/>
      <c r="E168" s="10">
        <f t="shared" si="18"/>
        <v>0</v>
      </c>
      <c r="F168" s="5"/>
      <c r="G168" s="21">
        <f t="shared" si="25"/>
        <v>0</v>
      </c>
      <c r="H168" s="2"/>
      <c r="I168" s="5"/>
      <c r="J168" s="5"/>
      <c r="AM168" s="2"/>
      <c r="AN168" s="2"/>
      <c r="AO168" s="2"/>
      <c r="AP168" s="2"/>
      <c r="AQ168" s="20">
        <f t="shared" si="19"/>
        <v>0</v>
      </c>
      <c r="AR168" s="2"/>
      <c r="AS168" s="29">
        <f t="shared" si="26"/>
        <v>0</v>
      </c>
      <c r="AT168" s="2"/>
      <c r="AU168" s="2"/>
      <c r="AV168" s="2"/>
      <c r="CE168" s="2">
        <f t="shared" si="20"/>
        <v>0</v>
      </c>
      <c r="CF168" s="19">
        <f t="shared" si="21"/>
        <v>0</v>
      </c>
      <c r="CG168" s="2">
        <f t="shared" si="22"/>
        <v>0</v>
      </c>
      <c r="CH168" s="24">
        <f t="shared" si="23"/>
        <v>0</v>
      </c>
      <c r="CI168" s="2"/>
      <c r="CJ168" s="20">
        <f t="shared" si="24"/>
        <v>0</v>
      </c>
    </row>
    <row r="169" spans="1:88" x14ac:dyDescent="0.25">
      <c r="A169" s="5"/>
      <c r="B169" s="5"/>
      <c r="C169" s="5"/>
      <c r="D169" s="5"/>
      <c r="E169" s="10">
        <f t="shared" si="18"/>
        <v>0</v>
      </c>
      <c r="F169" s="5"/>
      <c r="G169" s="21">
        <f t="shared" si="25"/>
        <v>0</v>
      </c>
      <c r="H169" s="2"/>
      <c r="I169" s="5"/>
      <c r="J169" s="5"/>
      <c r="AM169" s="2"/>
      <c r="AN169" s="2"/>
      <c r="AO169" s="2"/>
      <c r="AP169" s="2"/>
      <c r="AQ169" s="20">
        <f t="shared" si="19"/>
        <v>0</v>
      </c>
      <c r="AR169" s="2"/>
      <c r="AS169" s="29">
        <f t="shared" si="26"/>
        <v>0</v>
      </c>
      <c r="AT169" s="2"/>
      <c r="AU169" s="2"/>
      <c r="AV169" s="2"/>
      <c r="CE169" s="2">
        <f t="shared" si="20"/>
        <v>0</v>
      </c>
      <c r="CF169" s="19">
        <f t="shared" si="21"/>
        <v>0</v>
      </c>
      <c r="CG169" s="2">
        <f t="shared" si="22"/>
        <v>0</v>
      </c>
      <c r="CH169" s="24">
        <f t="shared" si="23"/>
        <v>0</v>
      </c>
      <c r="CI169" s="2"/>
      <c r="CJ169" s="20">
        <f t="shared" si="24"/>
        <v>0</v>
      </c>
    </row>
    <row r="170" spans="1:88" x14ac:dyDescent="0.25">
      <c r="A170" s="5"/>
      <c r="B170" s="5"/>
      <c r="C170" s="5"/>
      <c r="D170" s="5"/>
      <c r="E170" s="10">
        <f t="shared" si="18"/>
        <v>0</v>
      </c>
      <c r="F170" s="5"/>
      <c r="G170" s="21">
        <f t="shared" si="25"/>
        <v>0</v>
      </c>
      <c r="H170" s="2"/>
      <c r="I170" s="5"/>
      <c r="J170" s="5"/>
      <c r="AM170" s="2"/>
      <c r="AN170" s="2"/>
      <c r="AO170" s="2"/>
      <c r="AP170" s="2"/>
      <c r="AQ170" s="20">
        <f t="shared" si="19"/>
        <v>0</v>
      </c>
      <c r="AR170" s="2"/>
      <c r="AS170" s="29">
        <f t="shared" si="26"/>
        <v>0</v>
      </c>
      <c r="AT170" s="2"/>
      <c r="AU170" s="2"/>
      <c r="AV170" s="2"/>
      <c r="CE170" s="2">
        <f t="shared" si="20"/>
        <v>0</v>
      </c>
      <c r="CF170" s="19">
        <f t="shared" si="21"/>
        <v>0</v>
      </c>
      <c r="CG170" s="2">
        <f t="shared" si="22"/>
        <v>0</v>
      </c>
      <c r="CH170" s="24">
        <f t="shared" si="23"/>
        <v>0</v>
      </c>
      <c r="CI170" s="2"/>
      <c r="CJ170" s="20">
        <f t="shared" si="24"/>
        <v>0</v>
      </c>
    </row>
    <row r="171" spans="1:88" x14ac:dyDescent="0.25">
      <c r="A171" s="5"/>
      <c r="B171" s="5"/>
      <c r="C171" s="5"/>
      <c r="D171" s="5"/>
      <c r="E171" s="10">
        <f t="shared" si="18"/>
        <v>0</v>
      </c>
      <c r="F171" s="5"/>
      <c r="G171" s="21">
        <f t="shared" si="25"/>
        <v>0</v>
      </c>
      <c r="H171" s="2"/>
      <c r="I171" s="5"/>
      <c r="J171" s="5"/>
      <c r="AM171" s="2"/>
      <c r="AN171" s="2"/>
      <c r="AO171" s="2"/>
      <c r="AP171" s="2"/>
      <c r="AQ171" s="20">
        <f t="shared" si="19"/>
        <v>0</v>
      </c>
      <c r="AR171" s="2"/>
      <c r="AS171" s="29">
        <f t="shared" si="26"/>
        <v>0</v>
      </c>
      <c r="AT171" s="2"/>
      <c r="AU171" s="2"/>
      <c r="AV171" s="2"/>
      <c r="CE171" s="2">
        <f t="shared" si="20"/>
        <v>0</v>
      </c>
      <c r="CF171" s="19">
        <f t="shared" si="21"/>
        <v>0</v>
      </c>
      <c r="CG171" s="2">
        <f t="shared" si="22"/>
        <v>0</v>
      </c>
      <c r="CH171" s="24">
        <f t="shared" si="23"/>
        <v>0</v>
      </c>
      <c r="CI171" s="2"/>
      <c r="CJ171" s="20">
        <f t="shared" si="24"/>
        <v>0</v>
      </c>
    </row>
    <row r="172" spans="1:88" x14ac:dyDescent="0.25">
      <c r="A172" s="5"/>
      <c r="B172" s="5"/>
      <c r="C172" s="5"/>
      <c r="D172" s="5"/>
      <c r="E172" s="10">
        <f t="shared" si="18"/>
        <v>0</v>
      </c>
      <c r="F172" s="5"/>
      <c r="G172" s="21">
        <f t="shared" si="25"/>
        <v>0</v>
      </c>
      <c r="H172" s="2"/>
      <c r="I172" s="5"/>
      <c r="J172" s="5"/>
      <c r="AM172" s="2"/>
      <c r="AN172" s="2"/>
      <c r="AO172" s="2"/>
      <c r="AP172" s="2"/>
      <c r="AQ172" s="20">
        <f t="shared" si="19"/>
        <v>0</v>
      </c>
      <c r="AR172" s="2"/>
      <c r="AS172" s="29">
        <f t="shared" si="26"/>
        <v>0</v>
      </c>
      <c r="AT172" s="2"/>
      <c r="AU172" s="2"/>
      <c r="AV172" s="2"/>
      <c r="CE172" s="2">
        <f t="shared" si="20"/>
        <v>0</v>
      </c>
      <c r="CF172" s="19">
        <f t="shared" si="21"/>
        <v>0</v>
      </c>
      <c r="CG172" s="2">
        <f t="shared" si="22"/>
        <v>0</v>
      </c>
      <c r="CH172" s="24">
        <f t="shared" si="23"/>
        <v>0</v>
      </c>
      <c r="CI172" s="2"/>
      <c r="CJ172" s="20">
        <f t="shared" si="24"/>
        <v>0</v>
      </c>
    </row>
    <row r="173" spans="1:88" x14ac:dyDescent="0.25">
      <c r="A173" s="5"/>
      <c r="B173" s="5"/>
      <c r="C173" s="5"/>
      <c r="D173" s="5"/>
      <c r="E173" s="10">
        <f t="shared" si="18"/>
        <v>0</v>
      </c>
      <c r="F173" s="5"/>
      <c r="G173" s="21">
        <f t="shared" si="25"/>
        <v>0</v>
      </c>
      <c r="H173" s="2"/>
      <c r="I173" s="5"/>
      <c r="J173" s="5"/>
      <c r="AM173" s="2"/>
      <c r="AN173" s="2"/>
      <c r="AO173" s="2"/>
      <c r="AP173" s="2"/>
      <c r="AQ173" s="20">
        <f t="shared" si="19"/>
        <v>0</v>
      </c>
      <c r="AR173" s="2"/>
      <c r="AS173" s="29">
        <f t="shared" si="26"/>
        <v>0</v>
      </c>
      <c r="AT173" s="2"/>
      <c r="AU173" s="2"/>
      <c r="AV173" s="2"/>
      <c r="CE173" s="2">
        <f t="shared" si="20"/>
        <v>0</v>
      </c>
      <c r="CF173" s="19">
        <f t="shared" si="21"/>
        <v>0</v>
      </c>
      <c r="CG173" s="2">
        <f t="shared" si="22"/>
        <v>0</v>
      </c>
      <c r="CH173" s="24">
        <f t="shared" si="23"/>
        <v>0</v>
      </c>
      <c r="CI173" s="2"/>
      <c r="CJ173" s="20">
        <f t="shared" si="24"/>
        <v>0</v>
      </c>
    </row>
    <row r="174" spans="1:88" x14ac:dyDescent="0.25">
      <c r="A174" s="5"/>
      <c r="B174" s="5"/>
      <c r="C174" s="5"/>
      <c r="D174" s="5"/>
      <c r="E174" s="10">
        <f t="shared" si="18"/>
        <v>0</v>
      </c>
      <c r="F174" s="5"/>
      <c r="G174" s="21">
        <f t="shared" si="25"/>
        <v>0</v>
      </c>
      <c r="H174" s="2"/>
      <c r="I174" s="5"/>
      <c r="J174" s="5"/>
      <c r="AM174" s="2"/>
      <c r="AN174" s="2"/>
      <c r="AO174" s="2"/>
      <c r="AP174" s="2"/>
      <c r="AQ174" s="20">
        <f t="shared" si="19"/>
        <v>0</v>
      </c>
      <c r="AR174" s="2"/>
      <c r="AS174" s="29">
        <f t="shared" si="26"/>
        <v>0</v>
      </c>
      <c r="AT174" s="2"/>
      <c r="AU174" s="2"/>
      <c r="AV174" s="2"/>
      <c r="CE174" s="2">
        <f t="shared" si="20"/>
        <v>0</v>
      </c>
      <c r="CF174" s="19">
        <f t="shared" si="21"/>
        <v>0</v>
      </c>
      <c r="CG174" s="2">
        <f t="shared" si="22"/>
        <v>0</v>
      </c>
      <c r="CH174" s="24">
        <f t="shared" si="23"/>
        <v>0</v>
      </c>
      <c r="CI174" s="2"/>
      <c r="CJ174" s="20">
        <f t="shared" si="24"/>
        <v>0</v>
      </c>
    </row>
    <row r="175" spans="1:88" x14ac:dyDescent="0.25">
      <c r="A175" s="5"/>
      <c r="B175" s="5"/>
      <c r="C175" s="5"/>
      <c r="D175" s="5"/>
      <c r="E175" s="10">
        <f t="shared" si="18"/>
        <v>0</v>
      </c>
      <c r="F175" s="5"/>
      <c r="G175" s="21">
        <f t="shared" si="25"/>
        <v>0</v>
      </c>
      <c r="H175" s="2"/>
      <c r="I175" s="5"/>
      <c r="J175" s="5"/>
      <c r="AM175" s="2"/>
      <c r="AN175" s="2"/>
      <c r="AO175" s="2"/>
      <c r="AP175" s="2"/>
      <c r="AQ175" s="20">
        <f t="shared" si="19"/>
        <v>0</v>
      </c>
      <c r="AR175" s="2"/>
      <c r="AS175" s="29">
        <f t="shared" si="26"/>
        <v>0</v>
      </c>
      <c r="AT175" s="2"/>
      <c r="AU175" s="2"/>
      <c r="AV175" s="2"/>
      <c r="CE175" s="2">
        <f t="shared" si="20"/>
        <v>0</v>
      </c>
      <c r="CF175" s="19">
        <f t="shared" si="21"/>
        <v>0</v>
      </c>
      <c r="CG175" s="2">
        <f t="shared" si="22"/>
        <v>0</v>
      </c>
      <c r="CH175" s="24">
        <f t="shared" si="23"/>
        <v>0</v>
      </c>
      <c r="CI175" s="2"/>
      <c r="CJ175" s="20">
        <f t="shared" si="24"/>
        <v>0</v>
      </c>
    </row>
    <row r="176" spans="1:88" x14ac:dyDescent="0.25">
      <c r="A176" s="5"/>
      <c r="B176" s="5"/>
      <c r="C176" s="5"/>
      <c r="D176" s="5"/>
      <c r="E176" s="10">
        <f t="shared" si="18"/>
        <v>0</v>
      </c>
      <c r="F176" s="5"/>
      <c r="G176" s="21">
        <f t="shared" si="25"/>
        <v>0</v>
      </c>
      <c r="H176" s="2"/>
      <c r="I176" s="5"/>
      <c r="J176" s="5"/>
      <c r="AM176" s="2"/>
      <c r="AN176" s="2"/>
      <c r="AO176" s="2"/>
      <c r="AP176" s="2"/>
      <c r="AQ176" s="20">
        <f t="shared" si="19"/>
        <v>0</v>
      </c>
      <c r="AR176" s="2"/>
      <c r="AS176" s="29">
        <f t="shared" si="26"/>
        <v>0</v>
      </c>
      <c r="AT176" s="2"/>
      <c r="AU176" s="2"/>
      <c r="AV176" s="2"/>
      <c r="CE176" s="2">
        <f t="shared" si="20"/>
        <v>0</v>
      </c>
      <c r="CF176" s="19">
        <f t="shared" si="21"/>
        <v>0</v>
      </c>
      <c r="CG176" s="2">
        <f t="shared" si="22"/>
        <v>0</v>
      </c>
      <c r="CH176" s="24">
        <f t="shared" si="23"/>
        <v>0</v>
      </c>
      <c r="CI176" s="2"/>
      <c r="CJ176" s="20">
        <f t="shared" si="24"/>
        <v>0</v>
      </c>
    </row>
    <row r="177" spans="1:88" x14ac:dyDescent="0.25">
      <c r="A177" s="5"/>
      <c r="B177" s="5"/>
      <c r="C177" s="5"/>
      <c r="D177" s="5"/>
      <c r="E177" s="10">
        <f t="shared" si="18"/>
        <v>0</v>
      </c>
      <c r="F177" s="5"/>
      <c r="G177" s="21">
        <f t="shared" si="25"/>
        <v>0</v>
      </c>
      <c r="H177" s="2"/>
      <c r="I177" s="5"/>
      <c r="J177" s="5"/>
      <c r="AM177" s="2"/>
      <c r="AN177" s="2"/>
      <c r="AO177" s="2"/>
      <c r="AP177" s="2"/>
      <c r="AQ177" s="20">
        <f t="shared" si="19"/>
        <v>0</v>
      </c>
      <c r="AR177" s="2"/>
      <c r="AS177" s="29">
        <f t="shared" si="26"/>
        <v>0</v>
      </c>
      <c r="AT177" s="2"/>
      <c r="AU177" s="2"/>
      <c r="AV177" s="2"/>
      <c r="CE177" s="2">
        <f t="shared" si="20"/>
        <v>0</v>
      </c>
      <c r="CF177" s="19">
        <f t="shared" si="21"/>
        <v>0</v>
      </c>
      <c r="CG177" s="2">
        <f t="shared" si="22"/>
        <v>0</v>
      </c>
      <c r="CH177" s="24">
        <f t="shared" si="23"/>
        <v>0</v>
      </c>
      <c r="CI177" s="2"/>
      <c r="CJ177" s="20">
        <f t="shared" si="24"/>
        <v>0</v>
      </c>
    </row>
    <row r="178" spans="1:88" x14ac:dyDescent="0.25">
      <c r="A178" s="5"/>
      <c r="B178" s="5"/>
      <c r="C178" s="5"/>
      <c r="D178" s="5"/>
      <c r="E178" s="10">
        <f t="shared" si="18"/>
        <v>0</v>
      </c>
      <c r="F178" s="5"/>
      <c r="G178" s="21">
        <f t="shared" si="25"/>
        <v>0</v>
      </c>
      <c r="H178" s="2"/>
      <c r="I178" s="5"/>
      <c r="J178" s="5"/>
      <c r="AM178" s="2"/>
      <c r="AN178" s="2"/>
      <c r="AO178" s="2"/>
      <c r="AP178" s="2"/>
      <c r="AQ178" s="20">
        <f t="shared" si="19"/>
        <v>0</v>
      </c>
      <c r="AR178" s="2"/>
      <c r="AS178" s="29">
        <f t="shared" si="26"/>
        <v>0</v>
      </c>
      <c r="AT178" s="2"/>
      <c r="AU178" s="2"/>
      <c r="AV178" s="2"/>
      <c r="CE178" s="2">
        <f t="shared" si="20"/>
        <v>0</v>
      </c>
      <c r="CF178" s="19">
        <f t="shared" si="21"/>
        <v>0</v>
      </c>
      <c r="CG178" s="2">
        <f t="shared" si="22"/>
        <v>0</v>
      </c>
      <c r="CH178" s="24">
        <f t="shared" si="23"/>
        <v>0</v>
      </c>
      <c r="CI178" s="2"/>
      <c r="CJ178" s="20">
        <f t="shared" si="24"/>
        <v>0</v>
      </c>
    </row>
    <row r="179" spans="1:88" x14ac:dyDescent="0.25">
      <c r="A179" s="5"/>
      <c r="B179" s="5"/>
      <c r="C179" s="5"/>
      <c r="D179" s="5"/>
      <c r="E179" s="10">
        <f t="shared" si="18"/>
        <v>0</v>
      </c>
      <c r="F179" s="5"/>
      <c r="G179" s="21">
        <f t="shared" si="25"/>
        <v>0</v>
      </c>
      <c r="H179" s="2"/>
      <c r="I179" s="5"/>
      <c r="J179" s="5"/>
      <c r="AM179" s="2"/>
      <c r="AN179" s="2"/>
      <c r="AO179" s="2"/>
      <c r="AP179" s="2"/>
      <c r="AQ179" s="20">
        <f t="shared" si="19"/>
        <v>0</v>
      </c>
      <c r="AR179" s="2"/>
      <c r="AS179" s="29">
        <f t="shared" si="26"/>
        <v>0</v>
      </c>
      <c r="AT179" s="2"/>
      <c r="AU179" s="2"/>
      <c r="AV179" s="2"/>
      <c r="CE179" s="2">
        <f t="shared" si="20"/>
        <v>0</v>
      </c>
      <c r="CF179" s="19">
        <f t="shared" si="21"/>
        <v>0</v>
      </c>
      <c r="CG179" s="2">
        <f t="shared" si="22"/>
        <v>0</v>
      </c>
      <c r="CH179" s="24">
        <f t="shared" si="23"/>
        <v>0</v>
      </c>
      <c r="CI179" s="2"/>
      <c r="CJ179" s="20">
        <f t="shared" si="24"/>
        <v>0</v>
      </c>
    </row>
    <row r="180" spans="1:88" x14ac:dyDescent="0.25">
      <c r="A180" s="5"/>
      <c r="B180" s="5"/>
      <c r="C180" s="5"/>
      <c r="D180" s="5"/>
      <c r="E180" s="10">
        <f t="shared" si="18"/>
        <v>0</v>
      </c>
      <c r="F180" s="5"/>
      <c r="G180" s="21">
        <f t="shared" si="25"/>
        <v>0</v>
      </c>
      <c r="H180" s="2"/>
      <c r="I180" s="5"/>
      <c r="J180" s="5"/>
      <c r="AM180" s="2"/>
      <c r="AN180" s="2"/>
      <c r="AO180" s="2"/>
      <c r="AP180" s="2"/>
      <c r="AQ180" s="20">
        <f t="shared" si="19"/>
        <v>0</v>
      </c>
      <c r="AR180" s="2"/>
      <c r="AS180" s="29">
        <f t="shared" si="26"/>
        <v>0</v>
      </c>
      <c r="AT180" s="2"/>
      <c r="AU180" s="2"/>
      <c r="AV180" s="2"/>
      <c r="CE180" s="2">
        <f t="shared" si="20"/>
        <v>0</v>
      </c>
      <c r="CF180" s="19">
        <f t="shared" si="21"/>
        <v>0</v>
      </c>
      <c r="CG180" s="2">
        <f t="shared" si="22"/>
        <v>0</v>
      </c>
      <c r="CH180" s="24">
        <f t="shared" si="23"/>
        <v>0</v>
      </c>
      <c r="CI180" s="2"/>
      <c r="CJ180" s="20">
        <f t="shared" si="24"/>
        <v>0</v>
      </c>
    </row>
    <row r="181" spans="1:88" x14ac:dyDescent="0.25">
      <c r="A181" s="5"/>
      <c r="B181" s="5"/>
      <c r="C181" s="5"/>
      <c r="D181" s="5"/>
      <c r="E181" s="10">
        <f t="shared" si="18"/>
        <v>0</v>
      </c>
      <c r="F181" s="5"/>
      <c r="G181" s="21">
        <f t="shared" si="25"/>
        <v>0</v>
      </c>
      <c r="H181" s="2"/>
      <c r="I181" s="5"/>
      <c r="J181" s="5"/>
      <c r="AM181" s="2"/>
      <c r="AN181" s="2"/>
      <c r="AO181" s="2"/>
      <c r="AP181" s="2"/>
      <c r="AQ181" s="20">
        <f t="shared" si="19"/>
        <v>0</v>
      </c>
      <c r="AR181" s="2"/>
      <c r="AS181" s="29">
        <f t="shared" si="26"/>
        <v>0</v>
      </c>
      <c r="AT181" s="2"/>
      <c r="AU181" s="2"/>
      <c r="AV181" s="2"/>
      <c r="CE181" s="2">
        <f t="shared" si="20"/>
        <v>0</v>
      </c>
      <c r="CF181" s="19">
        <f t="shared" si="21"/>
        <v>0</v>
      </c>
      <c r="CG181" s="2">
        <f t="shared" si="22"/>
        <v>0</v>
      </c>
      <c r="CH181" s="24">
        <f t="shared" si="23"/>
        <v>0</v>
      </c>
      <c r="CI181" s="2"/>
      <c r="CJ181" s="20">
        <f t="shared" si="24"/>
        <v>0</v>
      </c>
    </row>
    <row r="182" spans="1:88" x14ac:dyDescent="0.25">
      <c r="A182" s="5"/>
      <c r="B182" s="5"/>
      <c r="C182" s="5"/>
      <c r="D182" s="5"/>
      <c r="E182" s="10">
        <f t="shared" si="18"/>
        <v>0</v>
      </c>
      <c r="F182" s="5"/>
      <c r="G182" s="21">
        <f t="shared" si="25"/>
        <v>0</v>
      </c>
      <c r="H182" s="2"/>
      <c r="I182" s="5"/>
      <c r="J182" s="5"/>
      <c r="AM182" s="2"/>
      <c r="AN182" s="2"/>
      <c r="AO182" s="2"/>
      <c r="AP182" s="2"/>
      <c r="AQ182" s="20">
        <f t="shared" si="19"/>
        <v>0</v>
      </c>
      <c r="AR182" s="2"/>
      <c r="AS182" s="29">
        <f t="shared" si="26"/>
        <v>0</v>
      </c>
      <c r="AT182" s="2"/>
      <c r="AU182" s="2"/>
      <c r="AV182" s="2"/>
      <c r="CE182" s="2">
        <f t="shared" si="20"/>
        <v>0</v>
      </c>
      <c r="CF182" s="19">
        <f t="shared" si="21"/>
        <v>0</v>
      </c>
      <c r="CG182" s="2">
        <f t="shared" si="22"/>
        <v>0</v>
      </c>
      <c r="CH182" s="24">
        <f t="shared" si="23"/>
        <v>0</v>
      </c>
      <c r="CI182" s="2"/>
      <c r="CJ182" s="20">
        <f t="shared" si="24"/>
        <v>0</v>
      </c>
    </row>
    <row r="183" spans="1:88" x14ac:dyDescent="0.25">
      <c r="A183" s="5"/>
      <c r="B183" s="5"/>
      <c r="C183" s="5"/>
      <c r="D183" s="5"/>
      <c r="E183" s="10">
        <f t="shared" si="18"/>
        <v>0</v>
      </c>
      <c r="F183" s="5"/>
      <c r="G183" s="21">
        <f t="shared" si="25"/>
        <v>0</v>
      </c>
      <c r="H183" s="2"/>
      <c r="I183" s="5"/>
      <c r="J183" s="5"/>
      <c r="AM183" s="2"/>
      <c r="AN183" s="2"/>
      <c r="AO183" s="2"/>
      <c r="AP183" s="2"/>
      <c r="AQ183" s="20">
        <f t="shared" si="19"/>
        <v>0</v>
      </c>
      <c r="AR183" s="2"/>
      <c r="AS183" s="29">
        <f t="shared" si="26"/>
        <v>0</v>
      </c>
      <c r="AT183" s="2"/>
      <c r="AU183" s="2"/>
      <c r="AV183" s="2"/>
      <c r="CE183" s="2">
        <f t="shared" si="20"/>
        <v>0</v>
      </c>
      <c r="CF183" s="19">
        <f t="shared" si="21"/>
        <v>0</v>
      </c>
      <c r="CG183" s="2">
        <f t="shared" si="22"/>
        <v>0</v>
      </c>
      <c r="CH183" s="24">
        <f t="shared" si="23"/>
        <v>0</v>
      </c>
      <c r="CI183" s="2"/>
      <c r="CJ183" s="20">
        <f t="shared" si="24"/>
        <v>0</v>
      </c>
    </row>
    <row r="184" spans="1:88" x14ac:dyDescent="0.25">
      <c r="A184" s="5"/>
      <c r="B184" s="5"/>
      <c r="C184" s="5"/>
      <c r="D184" s="5"/>
      <c r="E184" s="10">
        <f t="shared" si="18"/>
        <v>0</v>
      </c>
      <c r="F184" s="5"/>
      <c r="G184" s="21">
        <f t="shared" si="25"/>
        <v>0</v>
      </c>
      <c r="H184" s="2"/>
      <c r="I184" s="5"/>
      <c r="J184" s="5"/>
      <c r="AM184" s="2"/>
      <c r="AN184" s="2"/>
      <c r="AO184" s="2"/>
      <c r="AP184" s="2"/>
      <c r="AQ184" s="20">
        <f t="shared" si="19"/>
        <v>0</v>
      </c>
      <c r="AR184" s="2"/>
      <c r="AS184" s="29">
        <f t="shared" si="26"/>
        <v>0</v>
      </c>
      <c r="AT184" s="2"/>
      <c r="AU184" s="2"/>
      <c r="AV184" s="2"/>
      <c r="CE184" s="2">
        <f t="shared" si="20"/>
        <v>0</v>
      </c>
      <c r="CF184" s="19">
        <f t="shared" si="21"/>
        <v>0</v>
      </c>
      <c r="CG184" s="2">
        <f t="shared" si="22"/>
        <v>0</v>
      </c>
      <c r="CH184" s="24">
        <f t="shared" si="23"/>
        <v>0</v>
      </c>
      <c r="CI184" s="2"/>
      <c r="CJ184" s="20">
        <f t="shared" si="24"/>
        <v>0</v>
      </c>
    </row>
    <row r="185" spans="1:88" x14ac:dyDescent="0.25">
      <c r="A185" s="5"/>
      <c r="B185" s="5"/>
      <c r="C185" s="5"/>
      <c r="D185" s="5"/>
      <c r="E185" s="10">
        <f t="shared" si="18"/>
        <v>0</v>
      </c>
      <c r="F185" s="5"/>
      <c r="G185" s="21">
        <f t="shared" si="25"/>
        <v>0</v>
      </c>
      <c r="H185" s="2"/>
      <c r="I185" s="5"/>
      <c r="J185" s="5"/>
      <c r="AM185" s="2"/>
      <c r="AN185" s="2"/>
      <c r="AO185" s="2"/>
      <c r="AP185" s="2"/>
      <c r="AQ185" s="20">
        <f t="shared" si="19"/>
        <v>0</v>
      </c>
      <c r="AR185" s="2"/>
      <c r="AS185" s="29">
        <f t="shared" si="26"/>
        <v>0</v>
      </c>
      <c r="AT185" s="2"/>
      <c r="AU185" s="2"/>
      <c r="AV185" s="2"/>
      <c r="CE185" s="2">
        <f t="shared" si="20"/>
        <v>0</v>
      </c>
      <c r="CF185" s="19">
        <f t="shared" si="21"/>
        <v>0</v>
      </c>
      <c r="CG185" s="2">
        <f t="shared" si="22"/>
        <v>0</v>
      </c>
      <c r="CH185" s="24">
        <f t="shared" si="23"/>
        <v>0</v>
      </c>
      <c r="CI185" s="2"/>
      <c r="CJ185" s="20">
        <f t="shared" si="24"/>
        <v>0</v>
      </c>
    </row>
    <row r="186" spans="1:88" x14ac:dyDescent="0.25">
      <c r="A186" s="5"/>
      <c r="B186" s="5"/>
      <c r="C186" s="5"/>
      <c r="D186" s="5"/>
      <c r="E186" s="10">
        <f t="shared" si="18"/>
        <v>0</v>
      </c>
      <c r="F186" s="5"/>
      <c r="G186" s="21">
        <f t="shared" si="25"/>
        <v>0</v>
      </c>
      <c r="H186" s="2"/>
      <c r="I186" s="5"/>
      <c r="J186" s="5"/>
      <c r="AM186" s="2"/>
      <c r="AN186" s="2"/>
      <c r="AO186" s="2"/>
      <c r="AP186" s="2"/>
      <c r="AQ186" s="20">
        <f t="shared" si="19"/>
        <v>0</v>
      </c>
      <c r="AR186" s="2"/>
      <c r="AS186" s="29">
        <f t="shared" si="26"/>
        <v>0</v>
      </c>
      <c r="AT186" s="2"/>
      <c r="AU186" s="2"/>
      <c r="AV186" s="2"/>
      <c r="CE186" s="2">
        <f t="shared" si="20"/>
        <v>0</v>
      </c>
      <c r="CF186" s="19">
        <f t="shared" si="21"/>
        <v>0</v>
      </c>
      <c r="CG186" s="2">
        <f t="shared" si="22"/>
        <v>0</v>
      </c>
      <c r="CH186" s="24">
        <f t="shared" si="23"/>
        <v>0</v>
      </c>
      <c r="CI186" s="2"/>
      <c r="CJ186" s="20">
        <f t="shared" si="24"/>
        <v>0</v>
      </c>
    </row>
    <row r="187" spans="1:88" x14ac:dyDescent="0.25">
      <c r="A187" s="5"/>
      <c r="B187" s="5"/>
      <c r="C187" s="5"/>
      <c r="D187" s="5"/>
      <c r="E187" s="10">
        <f t="shared" si="18"/>
        <v>0</v>
      </c>
      <c r="F187" s="5"/>
      <c r="G187" s="21">
        <f t="shared" si="25"/>
        <v>0</v>
      </c>
      <c r="H187" s="2"/>
      <c r="I187" s="5"/>
      <c r="J187" s="5"/>
      <c r="AM187" s="2"/>
      <c r="AN187" s="2"/>
      <c r="AO187" s="2"/>
      <c r="AP187" s="2"/>
      <c r="AQ187" s="20">
        <f t="shared" si="19"/>
        <v>0</v>
      </c>
      <c r="AR187" s="2"/>
      <c r="AS187" s="29">
        <f t="shared" si="26"/>
        <v>0</v>
      </c>
      <c r="AT187" s="2"/>
      <c r="AU187" s="2"/>
      <c r="AV187" s="2"/>
      <c r="CE187" s="2">
        <f t="shared" si="20"/>
        <v>0</v>
      </c>
      <c r="CF187" s="19">
        <f t="shared" si="21"/>
        <v>0</v>
      </c>
      <c r="CG187" s="2">
        <f t="shared" si="22"/>
        <v>0</v>
      </c>
      <c r="CH187" s="24">
        <f t="shared" si="23"/>
        <v>0</v>
      </c>
      <c r="CI187" s="2"/>
      <c r="CJ187" s="20">
        <f t="shared" si="24"/>
        <v>0</v>
      </c>
    </row>
    <row r="188" spans="1:88" x14ac:dyDescent="0.25">
      <c r="A188" s="5"/>
      <c r="B188" s="5"/>
      <c r="C188" s="5"/>
      <c r="D188" s="5"/>
      <c r="E188" s="10">
        <f t="shared" si="18"/>
        <v>0</v>
      </c>
      <c r="F188" s="5"/>
      <c r="G188" s="21">
        <f t="shared" si="25"/>
        <v>0</v>
      </c>
      <c r="H188" s="2"/>
      <c r="I188" s="5"/>
      <c r="J188" s="5"/>
      <c r="AM188" s="2"/>
      <c r="AN188" s="2"/>
      <c r="AO188" s="2"/>
      <c r="AP188" s="2"/>
      <c r="AQ188" s="20">
        <f t="shared" si="19"/>
        <v>0</v>
      </c>
      <c r="AR188" s="2"/>
      <c r="AS188" s="29">
        <f t="shared" si="26"/>
        <v>0</v>
      </c>
      <c r="AT188" s="2"/>
      <c r="AU188" s="2"/>
      <c r="AV188" s="2"/>
      <c r="CE188" s="2">
        <f t="shared" si="20"/>
        <v>0</v>
      </c>
      <c r="CF188" s="19">
        <f t="shared" si="21"/>
        <v>0</v>
      </c>
      <c r="CG188" s="2">
        <f t="shared" si="22"/>
        <v>0</v>
      </c>
      <c r="CH188" s="24">
        <f t="shared" si="23"/>
        <v>0</v>
      </c>
      <c r="CI188" s="2"/>
      <c r="CJ188" s="20">
        <f t="shared" si="24"/>
        <v>0</v>
      </c>
    </row>
    <row r="189" spans="1:88" x14ac:dyDescent="0.25">
      <c r="A189" s="5"/>
      <c r="B189" s="5"/>
      <c r="C189" s="5"/>
      <c r="D189" s="5"/>
      <c r="E189" s="10">
        <f t="shared" si="18"/>
        <v>0</v>
      </c>
      <c r="F189" s="5"/>
      <c r="G189" s="21">
        <f t="shared" si="25"/>
        <v>0</v>
      </c>
      <c r="H189" s="2"/>
      <c r="I189" s="5"/>
      <c r="J189" s="5"/>
      <c r="AM189" s="2"/>
      <c r="AN189" s="2"/>
      <c r="AO189" s="2"/>
      <c r="AP189" s="2"/>
      <c r="AQ189" s="20">
        <f t="shared" si="19"/>
        <v>0</v>
      </c>
      <c r="AR189" s="2"/>
      <c r="AS189" s="29">
        <f t="shared" si="26"/>
        <v>0</v>
      </c>
      <c r="AT189" s="2"/>
      <c r="AU189" s="2"/>
      <c r="AV189" s="2"/>
      <c r="CE189" s="2">
        <f t="shared" si="20"/>
        <v>0</v>
      </c>
      <c r="CF189" s="19">
        <f t="shared" si="21"/>
        <v>0</v>
      </c>
      <c r="CG189" s="2">
        <f t="shared" si="22"/>
        <v>0</v>
      </c>
      <c r="CH189" s="24">
        <f t="shared" si="23"/>
        <v>0</v>
      </c>
      <c r="CI189" s="2"/>
      <c r="CJ189" s="20">
        <f t="shared" si="24"/>
        <v>0</v>
      </c>
    </row>
    <row r="190" spans="1:88" x14ac:dyDescent="0.25">
      <c r="A190" s="5"/>
      <c r="B190" s="5"/>
      <c r="C190" s="5"/>
      <c r="D190" s="5"/>
      <c r="E190" s="10">
        <f t="shared" si="18"/>
        <v>0</v>
      </c>
      <c r="F190" s="5"/>
      <c r="G190" s="21">
        <f t="shared" si="25"/>
        <v>0</v>
      </c>
      <c r="H190" s="2"/>
      <c r="I190" s="5"/>
      <c r="J190" s="5"/>
      <c r="AM190" s="2"/>
      <c r="AN190" s="2"/>
      <c r="AO190" s="2"/>
      <c r="AP190" s="2"/>
      <c r="AQ190" s="20">
        <f t="shared" si="19"/>
        <v>0</v>
      </c>
      <c r="AR190" s="2"/>
      <c r="AS190" s="29">
        <f t="shared" si="26"/>
        <v>0</v>
      </c>
      <c r="AT190" s="2"/>
      <c r="AU190" s="2"/>
      <c r="AV190" s="2"/>
      <c r="CE190" s="2">
        <f t="shared" si="20"/>
        <v>0</v>
      </c>
      <c r="CF190" s="19">
        <f t="shared" si="21"/>
        <v>0</v>
      </c>
      <c r="CG190" s="2">
        <f t="shared" si="22"/>
        <v>0</v>
      </c>
      <c r="CH190" s="24">
        <f t="shared" si="23"/>
        <v>0</v>
      </c>
      <c r="CI190" s="2"/>
      <c r="CJ190" s="20">
        <f t="shared" si="24"/>
        <v>0</v>
      </c>
    </row>
    <row r="191" spans="1:88" x14ac:dyDescent="0.25">
      <c r="A191" s="5"/>
      <c r="B191" s="5"/>
      <c r="C191" s="5"/>
      <c r="D191" s="5"/>
      <c r="E191" s="10">
        <f t="shared" si="18"/>
        <v>0</v>
      </c>
      <c r="F191" s="5"/>
      <c r="G191" s="21">
        <f t="shared" si="25"/>
        <v>0</v>
      </c>
      <c r="H191" s="2"/>
      <c r="I191" s="5"/>
      <c r="J191" s="5"/>
      <c r="AM191" s="2"/>
      <c r="AN191" s="2"/>
      <c r="AO191" s="2"/>
      <c r="AP191" s="2"/>
      <c r="AQ191" s="20">
        <f t="shared" si="19"/>
        <v>0</v>
      </c>
      <c r="AR191" s="2"/>
      <c r="AS191" s="29">
        <f t="shared" si="26"/>
        <v>0</v>
      </c>
      <c r="AT191" s="2"/>
      <c r="AU191" s="2"/>
      <c r="AV191" s="2"/>
      <c r="CE191" s="2">
        <f t="shared" si="20"/>
        <v>0</v>
      </c>
      <c r="CF191" s="19">
        <f t="shared" si="21"/>
        <v>0</v>
      </c>
      <c r="CG191" s="2">
        <f t="shared" si="22"/>
        <v>0</v>
      </c>
      <c r="CH191" s="24">
        <f t="shared" si="23"/>
        <v>0</v>
      </c>
      <c r="CI191" s="2"/>
      <c r="CJ191" s="20">
        <f t="shared" si="24"/>
        <v>0</v>
      </c>
    </row>
    <row r="192" spans="1:88" x14ac:dyDescent="0.25">
      <c r="A192" s="5"/>
      <c r="B192" s="5"/>
      <c r="C192" s="5"/>
      <c r="D192" s="5"/>
      <c r="E192" s="10">
        <f t="shared" si="18"/>
        <v>0</v>
      </c>
      <c r="F192" s="5"/>
      <c r="G192" s="21">
        <f t="shared" si="25"/>
        <v>0</v>
      </c>
      <c r="H192" s="2"/>
      <c r="I192" s="5"/>
      <c r="J192" s="5"/>
      <c r="AM192" s="2"/>
      <c r="AN192" s="2"/>
      <c r="AO192" s="2"/>
      <c r="AP192" s="2"/>
      <c r="AQ192" s="20">
        <f t="shared" si="19"/>
        <v>0</v>
      </c>
      <c r="AR192" s="2"/>
      <c r="AS192" s="29">
        <f t="shared" si="26"/>
        <v>0</v>
      </c>
      <c r="AT192" s="2"/>
      <c r="AU192" s="2"/>
      <c r="AV192" s="2"/>
      <c r="CE192" s="2">
        <f t="shared" si="20"/>
        <v>0</v>
      </c>
      <c r="CF192" s="19">
        <f t="shared" si="21"/>
        <v>0</v>
      </c>
      <c r="CG192" s="2">
        <f t="shared" si="22"/>
        <v>0</v>
      </c>
      <c r="CH192" s="24">
        <f t="shared" si="23"/>
        <v>0</v>
      </c>
      <c r="CI192" s="2"/>
      <c r="CJ192" s="20">
        <f t="shared" si="24"/>
        <v>0</v>
      </c>
    </row>
    <row r="193" spans="1:88" x14ac:dyDescent="0.25">
      <c r="A193" s="5"/>
      <c r="B193" s="5"/>
      <c r="C193" s="5"/>
      <c r="D193" s="5"/>
      <c r="E193" s="10">
        <f t="shared" si="18"/>
        <v>0</v>
      </c>
      <c r="F193" s="5"/>
      <c r="G193" s="21">
        <f t="shared" si="25"/>
        <v>0</v>
      </c>
      <c r="H193" s="2"/>
      <c r="I193" s="5"/>
      <c r="J193" s="5"/>
      <c r="AM193" s="2"/>
      <c r="AN193" s="2"/>
      <c r="AO193" s="2"/>
      <c r="AP193" s="2"/>
      <c r="AQ193" s="20">
        <f t="shared" si="19"/>
        <v>0</v>
      </c>
      <c r="AR193" s="2"/>
      <c r="AS193" s="29">
        <f t="shared" si="26"/>
        <v>0</v>
      </c>
      <c r="AT193" s="2"/>
      <c r="AU193" s="2"/>
      <c r="AV193" s="2"/>
      <c r="CE193" s="2">
        <f t="shared" si="20"/>
        <v>0</v>
      </c>
      <c r="CF193" s="19">
        <f t="shared" si="21"/>
        <v>0</v>
      </c>
      <c r="CG193" s="2">
        <f t="shared" si="22"/>
        <v>0</v>
      </c>
      <c r="CH193" s="24">
        <f t="shared" si="23"/>
        <v>0</v>
      </c>
      <c r="CI193" s="2"/>
      <c r="CJ193" s="20">
        <f t="shared" si="24"/>
        <v>0</v>
      </c>
    </row>
    <row r="194" spans="1:88" x14ac:dyDescent="0.25">
      <c r="A194" s="5"/>
      <c r="B194" s="5"/>
      <c r="C194" s="5"/>
      <c r="D194" s="5"/>
      <c r="E194" s="10">
        <f t="shared" si="18"/>
        <v>0</v>
      </c>
      <c r="F194" s="5"/>
      <c r="G194" s="21">
        <f t="shared" si="25"/>
        <v>0</v>
      </c>
      <c r="H194" s="2"/>
      <c r="I194" s="5"/>
      <c r="J194" s="5"/>
      <c r="AM194" s="2"/>
      <c r="AN194" s="2"/>
      <c r="AO194" s="2"/>
      <c r="AP194" s="2"/>
      <c r="AQ194" s="20">
        <f t="shared" si="19"/>
        <v>0</v>
      </c>
      <c r="AR194" s="2"/>
      <c r="AS194" s="29">
        <f t="shared" si="26"/>
        <v>0</v>
      </c>
      <c r="AT194" s="2"/>
      <c r="AU194" s="2"/>
      <c r="AV194" s="2"/>
      <c r="CE194" s="2">
        <f t="shared" si="20"/>
        <v>0</v>
      </c>
      <c r="CF194" s="19">
        <f t="shared" si="21"/>
        <v>0</v>
      </c>
      <c r="CG194" s="2">
        <f t="shared" si="22"/>
        <v>0</v>
      </c>
      <c r="CH194" s="24">
        <f t="shared" si="23"/>
        <v>0</v>
      </c>
      <c r="CI194" s="2"/>
      <c r="CJ194" s="20">
        <f t="shared" si="24"/>
        <v>0</v>
      </c>
    </row>
    <row r="195" spans="1:88" x14ac:dyDescent="0.25">
      <c r="A195" s="5"/>
      <c r="B195" s="5"/>
      <c r="C195" s="5"/>
      <c r="D195" s="5"/>
      <c r="E195" s="10">
        <f t="shared" si="18"/>
        <v>0</v>
      </c>
      <c r="F195" s="5"/>
      <c r="G195" s="21">
        <f t="shared" si="25"/>
        <v>0</v>
      </c>
      <c r="H195" s="2"/>
      <c r="I195" s="5"/>
      <c r="J195" s="5"/>
      <c r="AM195" s="2"/>
      <c r="AN195" s="2"/>
      <c r="AO195" s="2"/>
      <c r="AP195" s="2"/>
      <c r="AQ195" s="20">
        <f t="shared" si="19"/>
        <v>0</v>
      </c>
      <c r="AR195" s="2"/>
      <c r="AS195" s="29">
        <f t="shared" si="26"/>
        <v>0</v>
      </c>
      <c r="AT195" s="2"/>
      <c r="AU195" s="2"/>
      <c r="AV195" s="2"/>
      <c r="CE195" s="2">
        <f t="shared" si="20"/>
        <v>0</v>
      </c>
      <c r="CF195" s="19">
        <f t="shared" si="21"/>
        <v>0</v>
      </c>
      <c r="CG195" s="2">
        <f t="shared" si="22"/>
        <v>0</v>
      </c>
      <c r="CH195" s="24">
        <f t="shared" si="23"/>
        <v>0</v>
      </c>
      <c r="CI195" s="2"/>
      <c r="CJ195" s="20">
        <f t="shared" si="24"/>
        <v>0</v>
      </c>
    </row>
    <row r="196" spans="1:88" x14ac:dyDescent="0.25">
      <c r="A196" s="5"/>
      <c r="B196" s="5"/>
      <c r="C196" s="5"/>
      <c r="D196" s="5"/>
      <c r="E196" s="10">
        <f t="shared" ref="E196:E259" si="27">-(C196/$C$6)</f>
        <v>0</v>
      </c>
      <c r="F196" s="5"/>
      <c r="G196" s="21">
        <f t="shared" si="25"/>
        <v>0</v>
      </c>
      <c r="H196" s="2"/>
      <c r="I196" s="5"/>
      <c r="J196" s="5"/>
      <c r="AM196" s="2"/>
      <c r="AN196" s="2"/>
      <c r="AO196" s="2"/>
      <c r="AP196" s="2"/>
      <c r="AQ196" s="20">
        <f t="shared" ref="AQ196:AQ259" si="28">-(AO196/$C$6)</f>
        <v>0</v>
      </c>
      <c r="AR196" s="2"/>
      <c r="AS196" s="29">
        <f t="shared" si="26"/>
        <v>0</v>
      </c>
      <c r="AT196" s="2"/>
      <c r="AU196" s="2"/>
      <c r="AV196" s="2"/>
      <c r="CE196" s="2">
        <f t="shared" ref="CE196:CE259" si="29">A197</f>
        <v>0</v>
      </c>
      <c r="CF196" s="19">
        <f t="shared" ref="CF196:CF259" si="30">AM197</f>
        <v>0</v>
      </c>
      <c r="CG196" s="2">
        <f t="shared" ref="CG196:CG259" si="31">G197</f>
        <v>0</v>
      </c>
      <c r="CH196" s="24">
        <f t="shared" ref="CH196:CH259" si="32">AS197</f>
        <v>0</v>
      </c>
      <c r="CI196" s="2"/>
      <c r="CJ196" s="20">
        <f t="shared" ref="CJ196:CJ259" si="33">-(CI196/$CI$5)</f>
        <v>0</v>
      </c>
    </row>
    <row r="197" spans="1:88" x14ac:dyDescent="0.25">
      <c r="A197" s="5"/>
      <c r="B197" s="5"/>
      <c r="C197" s="5"/>
      <c r="D197" s="5"/>
      <c r="E197" s="10">
        <f t="shared" si="27"/>
        <v>0</v>
      </c>
      <c r="F197" s="5"/>
      <c r="G197" s="21">
        <f t="shared" ref="G197:G260" si="34">1/2*$CB$4*($CC$4)^2*$CD$4*A197</f>
        <v>0</v>
      </c>
      <c r="H197" s="2"/>
      <c r="I197" s="5"/>
      <c r="J197" s="5"/>
      <c r="AM197" s="2"/>
      <c r="AN197" s="2"/>
      <c r="AO197" s="2"/>
      <c r="AP197" s="2"/>
      <c r="AQ197" s="20">
        <f t="shared" si="28"/>
        <v>0</v>
      </c>
      <c r="AR197" s="2"/>
      <c r="AS197" s="29">
        <f t="shared" ref="AS197:AS260" si="35">1/2*$CB$4*($CC$4)^2*$CD$4*AM197</f>
        <v>0</v>
      </c>
      <c r="AT197" s="2"/>
      <c r="AU197" s="2"/>
      <c r="AV197" s="2"/>
      <c r="CE197" s="2">
        <f t="shared" si="29"/>
        <v>0</v>
      </c>
      <c r="CF197" s="19">
        <f t="shared" si="30"/>
        <v>0</v>
      </c>
      <c r="CG197" s="2">
        <f t="shared" si="31"/>
        <v>0</v>
      </c>
      <c r="CH197" s="24">
        <f t="shared" si="32"/>
        <v>0</v>
      </c>
      <c r="CI197" s="2"/>
      <c r="CJ197" s="20">
        <f t="shared" si="33"/>
        <v>0</v>
      </c>
    </row>
    <row r="198" spans="1:88" x14ac:dyDescent="0.25">
      <c r="A198" s="5"/>
      <c r="B198" s="5"/>
      <c r="C198" s="5"/>
      <c r="D198" s="5"/>
      <c r="E198" s="10">
        <f t="shared" si="27"/>
        <v>0</v>
      </c>
      <c r="F198" s="5"/>
      <c r="G198" s="21">
        <f t="shared" si="34"/>
        <v>0</v>
      </c>
      <c r="H198" s="2"/>
      <c r="I198" s="5"/>
      <c r="J198" s="5"/>
      <c r="AM198" s="2"/>
      <c r="AN198" s="2"/>
      <c r="AO198" s="2"/>
      <c r="AP198" s="2"/>
      <c r="AQ198" s="20">
        <f t="shared" si="28"/>
        <v>0</v>
      </c>
      <c r="AR198" s="2"/>
      <c r="AS198" s="29">
        <f t="shared" si="35"/>
        <v>0</v>
      </c>
      <c r="AT198" s="2"/>
      <c r="AU198" s="2"/>
      <c r="AV198" s="2"/>
      <c r="CE198" s="2">
        <f t="shared" si="29"/>
        <v>0</v>
      </c>
      <c r="CF198" s="19">
        <f t="shared" si="30"/>
        <v>0</v>
      </c>
      <c r="CG198" s="2">
        <f t="shared" si="31"/>
        <v>0</v>
      </c>
      <c r="CH198" s="24">
        <f t="shared" si="32"/>
        <v>0</v>
      </c>
      <c r="CI198" s="2"/>
      <c r="CJ198" s="20">
        <f t="shared" si="33"/>
        <v>0</v>
      </c>
    </row>
    <row r="199" spans="1:88" x14ac:dyDescent="0.25">
      <c r="A199" s="5"/>
      <c r="B199" s="5"/>
      <c r="C199" s="5"/>
      <c r="D199" s="5"/>
      <c r="E199" s="10">
        <f t="shared" si="27"/>
        <v>0</v>
      </c>
      <c r="F199" s="5"/>
      <c r="G199" s="21">
        <f t="shared" si="34"/>
        <v>0</v>
      </c>
      <c r="H199" s="2"/>
      <c r="I199" s="5"/>
      <c r="J199" s="5"/>
      <c r="AM199" s="2"/>
      <c r="AN199" s="2"/>
      <c r="AO199" s="2"/>
      <c r="AP199" s="2"/>
      <c r="AQ199" s="20">
        <f t="shared" si="28"/>
        <v>0</v>
      </c>
      <c r="AR199" s="2"/>
      <c r="AS199" s="29">
        <f t="shared" si="35"/>
        <v>0</v>
      </c>
      <c r="AT199" s="2"/>
      <c r="AU199" s="2"/>
      <c r="AV199" s="2"/>
      <c r="CE199" s="2">
        <f t="shared" si="29"/>
        <v>0</v>
      </c>
      <c r="CF199" s="19">
        <f t="shared" si="30"/>
        <v>0</v>
      </c>
      <c r="CG199" s="2">
        <f t="shared" si="31"/>
        <v>0</v>
      </c>
      <c r="CH199" s="24">
        <f t="shared" si="32"/>
        <v>0</v>
      </c>
      <c r="CI199" s="2"/>
      <c r="CJ199" s="20">
        <f t="shared" si="33"/>
        <v>0</v>
      </c>
    </row>
    <row r="200" spans="1:88" x14ac:dyDescent="0.25">
      <c r="A200" s="5"/>
      <c r="B200" s="5"/>
      <c r="C200" s="5"/>
      <c r="D200" s="5"/>
      <c r="E200" s="10">
        <f t="shared" si="27"/>
        <v>0</v>
      </c>
      <c r="F200" s="5"/>
      <c r="G200" s="21">
        <f t="shared" si="34"/>
        <v>0</v>
      </c>
      <c r="H200" s="2"/>
      <c r="I200" s="5"/>
      <c r="J200" s="5"/>
      <c r="AM200" s="2"/>
      <c r="AN200" s="2"/>
      <c r="AO200" s="2"/>
      <c r="AP200" s="2"/>
      <c r="AQ200" s="20">
        <f t="shared" si="28"/>
        <v>0</v>
      </c>
      <c r="AR200" s="2"/>
      <c r="AS200" s="29">
        <f t="shared" si="35"/>
        <v>0</v>
      </c>
      <c r="AT200" s="2"/>
      <c r="AU200" s="2"/>
      <c r="AV200" s="2"/>
      <c r="CE200" s="2">
        <f t="shared" si="29"/>
        <v>0</v>
      </c>
      <c r="CF200" s="19">
        <f t="shared" si="30"/>
        <v>0</v>
      </c>
      <c r="CG200" s="2">
        <f t="shared" si="31"/>
        <v>0</v>
      </c>
      <c r="CH200" s="24">
        <f t="shared" si="32"/>
        <v>0</v>
      </c>
      <c r="CI200" s="2"/>
      <c r="CJ200" s="20">
        <f t="shared" si="33"/>
        <v>0</v>
      </c>
    </row>
    <row r="201" spans="1:88" x14ac:dyDescent="0.25">
      <c r="A201" s="5"/>
      <c r="B201" s="5"/>
      <c r="C201" s="5"/>
      <c r="D201" s="5"/>
      <c r="E201" s="10">
        <f t="shared" si="27"/>
        <v>0</v>
      </c>
      <c r="F201" s="5"/>
      <c r="G201" s="21">
        <f t="shared" si="34"/>
        <v>0</v>
      </c>
      <c r="H201" s="2"/>
      <c r="I201" s="5"/>
      <c r="J201" s="5"/>
      <c r="AM201" s="2"/>
      <c r="AN201" s="2"/>
      <c r="AO201" s="2"/>
      <c r="AP201" s="2"/>
      <c r="AQ201" s="20">
        <f t="shared" si="28"/>
        <v>0</v>
      </c>
      <c r="AR201" s="2"/>
      <c r="AS201" s="29">
        <f t="shared" si="35"/>
        <v>0</v>
      </c>
      <c r="AT201" s="2"/>
      <c r="AU201" s="2"/>
      <c r="AV201" s="2"/>
      <c r="CE201" s="2">
        <f t="shared" si="29"/>
        <v>0</v>
      </c>
      <c r="CF201" s="19">
        <f t="shared" si="30"/>
        <v>0</v>
      </c>
      <c r="CG201" s="2">
        <f t="shared" si="31"/>
        <v>0</v>
      </c>
      <c r="CH201" s="24">
        <f t="shared" si="32"/>
        <v>0</v>
      </c>
      <c r="CI201" s="2"/>
      <c r="CJ201" s="20">
        <f t="shared" si="33"/>
        <v>0</v>
      </c>
    </row>
    <row r="202" spans="1:88" x14ac:dyDescent="0.25">
      <c r="A202" s="5"/>
      <c r="B202" s="5"/>
      <c r="C202" s="5"/>
      <c r="D202" s="5"/>
      <c r="E202" s="10">
        <f t="shared" si="27"/>
        <v>0</v>
      </c>
      <c r="F202" s="5"/>
      <c r="G202" s="21">
        <f t="shared" si="34"/>
        <v>0</v>
      </c>
      <c r="H202" s="2"/>
      <c r="I202" s="5"/>
      <c r="J202" s="5"/>
      <c r="AM202" s="2"/>
      <c r="AN202" s="2"/>
      <c r="AO202" s="2"/>
      <c r="AP202" s="2"/>
      <c r="AQ202" s="20">
        <f t="shared" si="28"/>
        <v>0</v>
      </c>
      <c r="AR202" s="2"/>
      <c r="AS202" s="29">
        <f t="shared" si="35"/>
        <v>0</v>
      </c>
      <c r="AT202" s="2"/>
      <c r="AU202" s="2"/>
      <c r="AV202" s="2"/>
      <c r="CE202" s="2">
        <f t="shared" si="29"/>
        <v>0</v>
      </c>
      <c r="CF202" s="19">
        <f t="shared" si="30"/>
        <v>0</v>
      </c>
      <c r="CG202" s="2">
        <f t="shared" si="31"/>
        <v>0</v>
      </c>
      <c r="CH202" s="24">
        <f t="shared" si="32"/>
        <v>0</v>
      </c>
      <c r="CI202" s="2"/>
      <c r="CJ202" s="20">
        <f t="shared" si="33"/>
        <v>0</v>
      </c>
    </row>
    <row r="203" spans="1:88" x14ac:dyDescent="0.25">
      <c r="A203" s="5"/>
      <c r="B203" s="5"/>
      <c r="C203" s="5"/>
      <c r="D203" s="5"/>
      <c r="E203" s="10">
        <f t="shared" si="27"/>
        <v>0</v>
      </c>
      <c r="F203" s="5"/>
      <c r="G203" s="21">
        <f t="shared" si="34"/>
        <v>0</v>
      </c>
      <c r="H203" s="2"/>
      <c r="I203" s="5"/>
      <c r="J203" s="5"/>
      <c r="AM203" s="2"/>
      <c r="AN203" s="2"/>
      <c r="AO203" s="2"/>
      <c r="AP203" s="2"/>
      <c r="AQ203" s="20">
        <f t="shared" si="28"/>
        <v>0</v>
      </c>
      <c r="AR203" s="2"/>
      <c r="AS203" s="29">
        <f t="shared" si="35"/>
        <v>0</v>
      </c>
      <c r="AT203" s="2"/>
      <c r="AU203" s="2"/>
      <c r="AV203" s="2"/>
      <c r="CE203" s="2">
        <f t="shared" si="29"/>
        <v>0</v>
      </c>
      <c r="CF203" s="19">
        <f t="shared" si="30"/>
        <v>0</v>
      </c>
      <c r="CG203" s="2">
        <f t="shared" si="31"/>
        <v>0</v>
      </c>
      <c r="CH203" s="24">
        <f t="shared" si="32"/>
        <v>0</v>
      </c>
      <c r="CI203" s="2"/>
      <c r="CJ203" s="20">
        <f t="shared" si="33"/>
        <v>0</v>
      </c>
    </row>
    <row r="204" spans="1:88" x14ac:dyDescent="0.25">
      <c r="A204" s="5"/>
      <c r="B204" s="5"/>
      <c r="C204" s="5"/>
      <c r="D204" s="5"/>
      <c r="E204" s="10">
        <f t="shared" si="27"/>
        <v>0</v>
      </c>
      <c r="F204" s="5"/>
      <c r="G204" s="21">
        <f t="shared" si="34"/>
        <v>0</v>
      </c>
      <c r="H204" s="2"/>
      <c r="I204" s="5"/>
      <c r="J204" s="5"/>
      <c r="AM204" s="2"/>
      <c r="AN204" s="2"/>
      <c r="AO204" s="2"/>
      <c r="AP204" s="2"/>
      <c r="AQ204" s="20">
        <f t="shared" si="28"/>
        <v>0</v>
      </c>
      <c r="AR204" s="2"/>
      <c r="AS204" s="29">
        <f t="shared" si="35"/>
        <v>0</v>
      </c>
      <c r="AT204" s="2"/>
      <c r="AU204" s="2"/>
      <c r="AV204" s="2"/>
      <c r="CE204" s="2">
        <f t="shared" si="29"/>
        <v>0</v>
      </c>
      <c r="CF204" s="19">
        <f t="shared" si="30"/>
        <v>0</v>
      </c>
      <c r="CG204" s="2">
        <f t="shared" si="31"/>
        <v>0</v>
      </c>
      <c r="CH204" s="24">
        <f t="shared" si="32"/>
        <v>0</v>
      </c>
      <c r="CI204" s="2"/>
      <c r="CJ204" s="20">
        <f t="shared" si="33"/>
        <v>0</v>
      </c>
    </row>
    <row r="205" spans="1:88" x14ac:dyDescent="0.25">
      <c r="A205" s="5"/>
      <c r="B205" s="5"/>
      <c r="C205" s="5"/>
      <c r="D205" s="5"/>
      <c r="E205" s="10">
        <f t="shared" si="27"/>
        <v>0</v>
      </c>
      <c r="F205" s="5"/>
      <c r="G205" s="21">
        <f t="shared" si="34"/>
        <v>0</v>
      </c>
      <c r="H205" s="2"/>
      <c r="I205" s="5"/>
      <c r="J205" s="5"/>
      <c r="AM205" s="2"/>
      <c r="AN205" s="2"/>
      <c r="AO205" s="2"/>
      <c r="AP205" s="2"/>
      <c r="AQ205" s="20">
        <f t="shared" si="28"/>
        <v>0</v>
      </c>
      <c r="AR205" s="2"/>
      <c r="AS205" s="29">
        <f t="shared" si="35"/>
        <v>0</v>
      </c>
      <c r="AT205" s="2"/>
      <c r="AU205" s="2"/>
      <c r="AV205" s="2"/>
      <c r="CE205" s="2">
        <f t="shared" si="29"/>
        <v>0</v>
      </c>
      <c r="CF205" s="19">
        <f t="shared" si="30"/>
        <v>0</v>
      </c>
      <c r="CG205" s="2">
        <f t="shared" si="31"/>
        <v>0</v>
      </c>
      <c r="CH205" s="24">
        <f t="shared" si="32"/>
        <v>0</v>
      </c>
      <c r="CI205" s="2"/>
      <c r="CJ205" s="20">
        <f t="shared" si="33"/>
        <v>0</v>
      </c>
    </row>
    <row r="206" spans="1:88" x14ac:dyDescent="0.25">
      <c r="A206" s="5"/>
      <c r="B206" s="5"/>
      <c r="C206" s="5"/>
      <c r="D206" s="5"/>
      <c r="E206" s="10">
        <f t="shared" si="27"/>
        <v>0</v>
      </c>
      <c r="F206" s="5"/>
      <c r="G206" s="21">
        <f t="shared" si="34"/>
        <v>0</v>
      </c>
      <c r="H206" s="2"/>
      <c r="I206" s="5"/>
      <c r="J206" s="5"/>
      <c r="AM206" s="2"/>
      <c r="AN206" s="2"/>
      <c r="AO206" s="2"/>
      <c r="AP206" s="2"/>
      <c r="AQ206" s="20">
        <f t="shared" si="28"/>
        <v>0</v>
      </c>
      <c r="AR206" s="2"/>
      <c r="AS206" s="29">
        <f t="shared" si="35"/>
        <v>0</v>
      </c>
      <c r="AT206" s="2"/>
      <c r="AU206" s="2"/>
      <c r="AV206" s="2"/>
      <c r="CE206" s="2">
        <f t="shared" si="29"/>
        <v>0</v>
      </c>
      <c r="CF206" s="19">
        <f t="shared" si="30"/>
        <v>0</v>
      </c>
      <c r="CG206" s="2">
        <f t="shared" si="31"/>
        <v>0</v>
      </c>
      <c r="CH206" s="24">
        <f t="shared" si="32"/>
        <v>0</v>
      </c>
      <c r="CI206" s="2"/>
      <c r="CJ206" s="20">
        <f t="shared" si="33"/>
        <v>0</v>
      </c>
    </row>
    <row r="207" spans="1:88" x14ac:dyDescent="0.25">
      <c r="A207" s="5"/>
      <c r="B207" s="5"/>
      <c r="C207" s="5"/>
      <c r="D207" s="5"/>
      <c r="E207" s="10">
        <f t="shared" si="27"/>
        <v>0</v>
      </c>
      <c r="F207" s="5"/>
      <c r="G207" s="21">
        <f t="shared" si="34"/>
        <v>0</v>
      </c>
      <c r="H207" s="2"/>
      <c r="I207" s="5"/>
      <c r="J207" s="5"/>
      <c r="AM207" s="2"/>
      <c r="AN207" s="2"/>
      <c r="AO207" s="2"/>
      <c r="AP207" s="2"/>
      <c r="AQ207" s="20">
        <f t="shared" si="28"/>
        <v>0</v>
      </c>
      <c r="AR207" s="2"/>
      <c r="AS207" s="29">
        <f t="shared" si="35"/>
        <v>0</v>
      </c>
      <c r="AT207" s="2"/>
      <c r="AU207" s="2"/>
      <c r="AV207" s="2"/>
      <c r="CE207" s="2">
        <f t="shared" si="29"/>
        <v>0</v>
      </c>
      <c r="CF207" s="19">
        <f t="shared" si="30"/>
        <v>0</v>
      </c>
      <c r="CG207" s="2">
        <f t="shared" si="31"/>
        <v>0</v>
      </c>
      <c r="CH207" s="24">
        <f t="shared" si="32"/>
        <v>0</v>
      </c>
      <c r="CI207" s="2"/>
      <c r="CJ207" s="20">
        <f t="shared" si="33"/>
        <v>0</v>
      </c>
    </row>
    <row r="208" spans="1:88" x14ac:dyDescent="0.25">
      <c r="A208" s="5"/>
      <c r="B208" s="5"/>
      <c r="C208" s="5"/>
      <c r="D208" s="5"/>
      <c r="E208" s="10">
        <f t="shared" si="27"/>
        <v>0</v>
      </c>
      <c r="F208" s="5"/>
      <c r="G208" s="21">
        <f t="shared" si="34"/>
        <v>0</v>
      </c>
      <c r="H208" s="2"/>
      <c r="I208" s="5"/>
      <c r="J208" s="5"/>
      <c r="AM208" s="2"/>
      <c r="AN208" s="2"/>
      <c r="AO208" s="2"/>
      <c r="AP208" s="2"/>
      <c r="AQ208" s="20">
        <f t="shared" si="28"/>
        <v>0</v>
      </c>
      <c r="AR208" s="2"/>
      <c r="AS208" s="29">
        <f t="shared" si="35"/>
        <v>0</v>
      </c>
      <c r="AT208" s="2"/>
      <c r="AU208" s="2"/>
      <c r="AV208" s="2"/>
      <c r="CE208" s="2">
        <f t="shared" si="29"/>
        <v>0</v>
      </c>
      <c r="CF208" s="19">
        <f t="shared" si="30"/>
        <v>0</v>
      </c>
      <c r="CG208" s="2">
        <f t="shared" si="31"/>
        <v>0</v>
      </c>
      <c r="CH208" s="24">
        <f t="shared" si="32"/>
        <v>0</v>
      </c>
      <c r="CI208" s="2"/>
      <c r="CJ208" s="20">
        <f t="shared" si="33"/>
        <v>0</v>
      </c>
    </row>
    <row r="209" spans="1:88" x14ac:dyDescent="0.25">
      <c r="A209" s="5"/>
      <c r="B209" s="5"/>
      <c r="C209" s="5"/>
      <c r="D209" s="5"/>
      <c r="E209" s="10">
        <f t="shared" si="27"/>
        <v>0</v>
      </c>
      <c r="F209" s="5"/>
      <c r="G209" s="21">
        <f t="shared" si="34"/>
        <v>0</v>
      </c>
      <c r="H209" s="2"/>
      <c r="I209" s="5"/>
      <c r="J209" s="5"/>
      <c r="AM209" s="2"/>
      <c r="AN209" s="2"/>
      <c r="AO209" s="2"/>
      <c r="AP209" s="2"/>
      <c r="AQ209" s="20">
        <f t="shared" si="28"/>
        <v>0</v>
      </c>
      <c r="AR209" s="2"/>
      <c r="AS209" s="29">
        <f t="shared" si="35"/>
        <v>0</v>
      </c>
      <c r="AT209" s="2"/>
      <c r="AU209" s="2"/>
      <c r="AV209" s="2"/>
      <c r="CE209" s="2">
        <f t="shared" si="29"/>
        <v>0</v>
      </c>
      <c r="CF209" s="19">
        <f t="shared" si="30"/>
        <v>0</v>
      </c>
      <c r="CG209" s="2">
        <f t="shared" si="31"/>
        <v>0</v>
      </c>
      <c r="CH209" s="24">
        <f t="shared" si="32"/>
        <v>0</v>
      </c>
      <c r="CI209" s="2"/>
      <c r="CJ209" s="20">
        <f t="shared" si="33"/>
        <v>0</v>
      </c>
    </row>
    <row r="210" spans="1:88" x14ac:dyDescent="0.25">
      <c r="A210" s="5"/>
      <c r="B210" s="5"/>
      <c r="C210" s="5"/>
      <c r="D210" s="5"/>
      <c r="E210" s="10">
        <f t="shared" si="27"/>
        <v>0</v>
      </c>
      <c r="F210" s="5"/>
      <c r="G210" s="21">
        <f t="shared" si="34"/>
        <v>0</v>
      </c>
      <c r="H210" s="2"/>
      <c r="I210" s="5"/>
      <c r="J210" s="5"/>
      <c r="AM210" s="2"/>
      <c r="AN210" s="2"/>
      <c r="AO210" s="2"/>
      <c r="AP210" s="2"/>
      <c r="AQ210" s="20">
        <f t="shared" si="28"/>
        <v>0</v>
      </c>
      <c r="AR210" s="2"/>
      <c r="AS210" s="29">
        <f t="shared" si="35"/>
        <v>0</v>
      </c>
      <c r="AT210" s="2"/>
      <c r="AU210" s="2"/>
      <c r="AV210" s="2"/>
      <c r="CE210" s="2">
        <f t="shared" si="29"/>
        <v>0</v>
      </c>
      <c r="CF210" s="19">
        <f t="shared" si="30"/>
        <v>0</v>
      </c>
      <c r="CG210" s="2">
        <f t="shared" si="31"/>
        <v>0</v>
      </c>
      <c r="CH210" s="24">
        <f t="shared" si="32"/>
        <v>0</v>
      </c>
      <c r="CI210" s="2"/>
      <c r="CJ210" s="20">
        <f t="shared" si="33"/>
        <v>0</v>
      </c>
    </row>
    <row r="211" spans="1:88" x14ac:dyDescent="0.25">
      <c r="A211" s="5"/>
      <c r="B211" s="5"/>
      <c r="C211" s="5"/>
      <c r="D211" s="5"/>
      <c r="E211" s="10">
        <f t="shared" si="27"/>
        <v>0</v>
      </c>
      <c r="F211" s="5"/>
      <c r="G211" s="21">
        <f t="shared" si="34"/>
        <v>0</v>
      </c>
      <c r="H211" s="2"/>
      <c r="I211" s="5"/>
      <c r="J211" s="5"/>
      <c r="AM211" s="2"/>
      <c r="AN211" s="2"/>
      <c r="AO211" s="2"/>
      <c r="AP211" s="2"/>
      <c r="AQ211" s="20">
        <f t="shared" si="28"/>
        <v>0</v>
      </c>
      <c r="AR211" s="2"/>
      <c r="AS211" s="29">
        <f t="shared" si="35"/>
        <v>0</v>
      </c>
      <c r="AT211" s="2"/>
      <c r="AU211" s="2"/>
      <c r="AV211" s="2"/>
      <c r="CE211" s="2">
        <f t="shared" si="29"/>
        <v>0</v>
      </c>
      <c r="CF211" s="19">
        <f t="shared" si="30"/>
        <v>0</v>
      </c>
      <c r="CG211" s="2">
        <f t="shared" si="31"/>
        <v>0</v>
      </c>
      <c r="CH211" s="24">
        <f t="shared" si="32"/>
        <v>0</v>
      </c>
      <c r="CI211" s="2"/>
      <c r="CJ211" s="20">
        <f t="shared" si="33"/>
        <v>0</v>
      </c>
    </row>
    <row r="212" spans="1:88" x14ac:dyDescent="0.25">
      <c r="A212" s="5"/>
      <c r="B212" s="5"/>
      <c r="C212" s="5"/>
      <c r="D212" s="5"/>
      <c r="E212" s="10">
        <f t="shared" si="27"/>
        <v>0</v>
      </c>
      <c r="F212" s="5"/>
      <c r="G212" s="21">
        <f t="shared" si="34"/>
        <v>0</v>
      </c>
      <c r="H212" s="2"/>
      <c r="I212" s="5"/>
      <c r="J212" s="5"/>
      <c r="AM212" s="2"/>
      <c r="AN212" s="2"/>
      <c r="AO212" s="2"/>
      <c r="AP212" s="2"/>
      <c r="AQ212" s="20">
        <f t="shared" si="28"/>
        <v>0</v>
      </c>
      <c r="AR212" s="2"/>
      <c r="AS212" s="29">
        <f t="shared" si="35"/>
        <v>0</v>
      </c>
      <c r="AT212" s="2"/>
      <c r="AU212" s="2"/>
      <c r="AV212" s="2"/>
      <c r="CE212" s="2">
        <f t="shared" si="29"/>
        <v>0</v>
      </c>
      <c r="CF212" s="19">
        <f t="shared" si="30"/>
        <v>0</v>
      </c>
      <c r="CG212" s="2">
        <f t="shared" si="31"/>
        <v>0</v>
      </c>
      <c r="CH212" s="24">
        <f t="shared" si="32"/>
        <v>0</v>
      </c>
      <c r="CI212" s="2"/>
      <c r="CJ212" s="20">
        <f t="shared" si="33"/>
        <v>0</v>
      </c>
    </row>
    <row r="213" spans="1:88" x14ac:dyDescent="0.25">
      <c r="A213" s="5"/>
      <c r="B213" s="5"/>
      <c r="C213" s="5"/>
      <c r="D213" s="5"/>
      <c r="E213" s="10">
        <f t="shared" si="27"/>
        <v>0</v>
      </c>
      <c r="F213" s="5"/>
      <c r="G213" s="21">
        <f t="shared" si="34"/>
        <v>0</v>
      </c>
      <c r="H213" s="2"/>
      <c r="I213" s="5"/>
      <c r="J213" s="5"/>
      <c r="AM213" s="2"/>
      <c r="AN213" s="2"/>
      <c r="AO213" s="2"/>
      <c r="AP213" s="2"/>
      <c r="AQ213" s="20">
        <f t="shared" si="28"/>
        <v>0</v>
      </c>
      <c r="AR213" s="2"/>
      <c r="AS213" s="29">
        <f t="shared" si="35"/>
        <v>0</v>
      </c>
      <c r="AT213" s="2"/>
      <c r="AU213" s="2"/>
      <c r="AV213" s="2"/>
      <c r="CE213" s="2">
        <f t="shared" si="29"/>
        <v>0</v>
      </c>
      <c r="CF213" s="19">
        <f t="shared" si="30"/>
        <v>0</v>
      </c>
      <c r="CG213" s="2">
        <f t="shared" si="31"/>
        <v>0</v>
      </c>
      <c r="CH213" s="24">
        <f t="shared" si="32"/>
        <v>0</v>
      </c>
      <c r="CI213" s="2"/>
      <c r="CJ213" s="20">
        <f t="shared" si="33"/>
        <v>0</v>
      </c>
    </row>
    <row r="214" spans="1:88" x14ac:dyDescent="0.25">
      <c r="A214" s="5"/>
      <c r="B214" s="5"/>
      <c r="C214" s="5"/>
      <c r="D214" s="5"/>
      <c r="E214" s="10">
        <f t="shared" si="27"/>
        <v>0</v>
      </c>
      <c r="F214" s="5"/>
      <c r="G214" s="21">
        <f t="shared" si="34"/>
        <v>0</v>
      </c>
      <c r="H214" s="2"/>
      <c r="I214" s="5"/>
      <c r="J214" s="5"/>
      <c r="AM214" s="2"/>
      <c r="AN214" s="2"/>
      <c r="AO214" s="2"/>
      <c r="AP214" s="2"/>
      <c r="AQ214" s="20">
        <f t="shared" si="28"/>
        <v>0</v>
      </c>
      <c r="AR214" s="2"/>
      <c r="AS214" s="29">
        <f t="shared" si="35"/>
        <v>0</v>
      </c>
      <c r="AT214" s="2"/>
      <c r="AU214" s="2"/>
      <c r="AV214" s="2"/>
      <c r="CE214" s="2">
        <f t="shared" si="29"/>
        <v>0</v>
      </c>
      <c r="CF214" s="19">
        <f t="shared" si="30"/>
        <v>0</v>
      </c>
      <c r="CG214" s="2">
        <f t="shared" si="31"/>
        <v>0</v>
      </c>
      <c r="CH214" s="24">
        <f t="shared" si="32"/>
        <v>0</v>
      </c>
      <c r="CI214" s="2"/>
      <c r="CJ214" s="20">
        <f t="shared" si="33"/>
        <v>0</v>
      </c>
    </row>
    <row r="215" spans="1:88" x14ac:dyDescent="0.25">
      <c r="A215" s="5"/>
      <c r="B215" s="5"/>
      <c r="C215" s="5"/>
      <c r="D215" s="5"/>
      <c r="E215" s="10">
        <f t="shared" si="27"/>
        <v>0</v>
      </c>
      <c r="F215" s="5"/>
      <c r="G215" s="21">
        <f t="shared" si="34"/>
        <v>0</v>
      </c>
      <c r="H215" s="2"/>
      <c r="I215" s="5"/>
      <c r="J215" s="5"/>
      <c r="AM215" s="2"/>
      <c r="AN215" s="2"/>
      <c r="AO215" s="2"/>
      <c r="AP215" s="2"/>
      <c r="AQ215" s="20">
        <f t="shared" si="28"/>
        <v>0</v>
      </c>
      <c r="AR215" s="2"/>
      <c r="AS215" s="29">
        <f t="shared" si="35"/>
        <v>0</v>
      </c>
      <c r="AT215" s="2"/>
      <c r="AU215" s="2"/>
      <c r="AV215" s="2"/>
      <c r="CE215" s="2">
        <f t="shared" si="29"/>
        <v>0</v>
      </c>
      <c r="CF215" s="19">
        <f t="shared" si="30"/>
        <v>0</v>
      </c>
      <c r="CG215" s="2">
        <f t="shared" si="31"/>
        <v>0</v>
      </c>
      <c r="CH215" s="24">
        <f t="shared" si="32"/>
        <v>0</v>
      </c>
      <c r="CI215" s="2"/>
      <c r="CJ215" s="20">
        <f t="shared" si="33"/>
        <v>0</v>
      </c>
    </row>
    <row r="216" spans="1:88" x14ac:dyDescent="0.25">
      <c r="A216" s="5"/>
      <c r="B216" s="5"/>
      <c r="C216" s="5"/>
      <c r="D216" s="5"/>
      <c r="E216" s="10">
        <f t="shared" si="27"/>
        <v>0</v>
      </c>
      <c r="F216" s="5"/>
      <c r="G216" s="21">
        <f t="shared" si="34"/>
        <v>0</v>
      </c>
      <c r="H216" s="2"/>
      <c r="I216" s="5"/>
      <c r="J216" s="5"/>
      <c r="AM216" s="2"/>
      <c r="AN216" s="2"/>
      <c r="AO216" s="2"/>
      <c r="AP216" s="2"/>
      <c r="AQ216" s="20">
        <f t="shared" si="28"/>
        <v>0</v>
      </c>
      <c r="AR216" s="2"/>
      <c r="AS216" s="29">
        <f t="shared" si="35"/>
        <v>0</v>
      </c>
      <c r="AT216" s="2"/>
      <c r="AU216" s="2"/>
      <c r="AV216" s="2"/>
      <c r="CE216" s="2">
        <f t="shared" si="29"/>
        <v>0</v>
      </c>
      <c r="CF216" s="19">
        <f t="shared" si="30"/>
        <v>0</v>
      </c>
      <c r="CG216" s="2">
        <f t="shared" si="31"/>
        <v>0</v>
      </c>
      <c r="CH216" s="24">
        <f t="shared" si="32"/>
        <v>0</v>
      </c>
      <c r="CI216" s="2"/>
      <c r="CJ216" s="20">
        <f t="shared" si="33"/>
        <v>0</v>
      </c>
    </row>
    <row r="217" spans="1:88" x14ac:dyDescent="0.25">
      <c r="A217" s="5"/>
      <c r="B217" s="5"/>
      <c r="C217" s="5"/>
      <c r="D217" s="5"/>
      <c r="E217" s="10">
        <f t="shared" si="27"/>
        <v>0</v>
      </c>
      <c r="F217" s="5"/>
      <c r="G217" s="21">
        <f t="shared" si="34"/>
        <v>0</v>
      </c>
      <c r="H217" s="2"/>
      <c r="I217" s="5"/>
      <c r="J217" s="5"/>
      <c r="AM217" s="2"/>
      <c r="AN217" s="2"/>
      <c r="AO217" s="2"/>
      <c r="AP217" s="2"/>
      <c r="AQ217" s="20">
        <f t="shared" si="28"/>
        <v>0</v>
      </c>
      <c r="AR217" s="2"/>
      <c r="AS217" s="29">
        <f t="shared" si="35"/>
        <v>0</v>
      </c>
      <c r="AT217" s="2"/>
      <c r="AU217" s="2"/>
      <c r="AV217" s="2"/>
      <c r="CE217" s="2">
        <f t="shared" si="29"/>
        <v>0</v>
      </c>
      <c r="CF217" s="19">
        <f t="shared" si="30"/>
        <v>0</v>
      </c>
      <c r="CG217" s="2">
        <f t="shared" si="31"/>
        <v>0</v>
      </c>
      <c r="CH217" s="24">
        <f t="shared" si="32"/>
        <v>0</v>
      </c>
      <c r="CI217" s="2"/>
      <c r="CJ217" s="20">
        <f t="shared" si="33"/>
        <v>0</v>
      </c>
    </row>
    <row r="218" spans="1:88" x14ac:dyDescent="0.25">
      <c r="A218" s="5"/>
      <c r="B218" s="5"/>
      <c r="C218" s="5"/>
      <c r="D218" s="5"/>
      <c r="E218" s="10">
        <f t="shared" si="27"/>
        <v>0</v>
      </c>
      <c r="F218" s="5"/>
      <c r="G218" s="21">
        <f t="shared" si="34"/>
        <v>0</v>
      </c>
      <c r="H218" s="2"/>
      <c r="I218" s="5"/>
      <c r="J218" s="5"/>
      <c r="AM218" s="2"/>
      <c r="AN218" s="2"/>
      <c r="AO218" s="2"/>
      <c r="AP218" s="2"/>
      <c r="AQ218" s="20">
        <f t="shared" si="28"/>
        <v>0</v>
      </c>
      <c r="AR218" s="2"/>
      <c r="AS218" s="29">
        <f t="shared" si="35"/>
        <v>0</v>
      </c>
      <c r="AT218" s="2"/>
      <c r="AU218" s="2"/>
      <c r="AV218" s="2"/>
      <c r="CE218" s="2">
        <f t="shared" si="29"/>
        <v>0</v>
      </c>
      <c r="CF218" s="19">
        <f t="shared" si="30"/>
        <v>0</v>
      </c>
      <c r="CG218" s="2">
        <f t="shared" si="31"/>
        <v>0</v>
      </c>
      <c r="CH218" s="24">
        <f t="shared" si="32"/>
        <v>0</v>
      </c>
      <c r="CI218" s="2"/>
      <c r="CJ218" s="20">
        <f t="shared" si="33"/>
        <v>0</v>
      </c>
    </row>
    <row r="219" spans="1:88" x14ac:dyDescent="0.25">
      <c r="A219" s="5"/>
      <c r="B219" s="5"/>
      <c r="C219" s="5"/>
      <c r="D219" s="5"/>
      <c r="E219" s="10">
        <f t="shared" si="27"/>
        <v>0</v>
      </c>
      <c r="F219" s="5"/>
      <c r="G219" s="21">
        <f t="shared" si="34"/>
        <v>0</v>
      </c>
      <c r="H219" s="2"/>
      <c r="I219" s="5"/>
      <c r="J219" s="5"/>
      <c r="AM219" s="2"/>
      <c r="AN219" s="2"/>
      <c r="AO219" s="2"/>
      <c r="AP219" s="2"/>
      <c r="AQ219" s="20">
        <f t="shared" si="28"/>
        <v>0</v>
      </c>
      <c r="AR219" s="2"/>
      <c r="AS219" s="29">
        <f t="shared" si="35"/>
        <v>0</v>
      </c>
      <c r="AT219" s="2"/>
      <c r="AU219" s="2"/>
      <c r="AV219" s="2"/>
      <c r="CE219" s="2">
        <f t="shared" si="29"/>
        <v>0</v>
      </c>
      <c r="CF219" s="19">
        <f t="shared" si="30"/>
        <v>0</v>
      </c>
      <c r="CG219" s="2">
        <f t="shared" si="31"/>
        <v>0</v>
      </c>
      <c r="CH219" s="24">
        <f t="shared" si="32"/>
        <v>0</v>
      </c>
      <c r="CI219" s="2"/>
      <c r="CJ219" s="20">
        <f t="shared" si="33"/>
        <v>0</v>
      </c>
    </row>
    <row r="220" spans="1:88" x14ac:dyDescent="0.25">
      <c r="A220" s="5"/>
      <c r="B220" s="5"/>
      <c r="C220" s="5"/>
      <c r="D220" s="5"/>
      <c r="E220" s="10">
        <f t="shared" si="27"/>
        <v>0</v>
      </c>
      <c r="F220" s="5"/>
      <c r="G220" s="21">
        <f t="shared" si="34"/>
        <v>0</v>
      </c>
      <c r="H220" s="2"/>
      <c r="I220" s="5"/>
      <c r="J220" s="5"/>
      <c r="AM220" s="2"/>
      <c r="AN220" s="2"/>
      <c r="AO220" s="2"/>
      <c r="AP220" s="2"/>
      <c r="AQ220" s="20">
        <f t="shared" si="28"/>
        <v>0</v>
      </c>
      <c r="AR220" s="2"/>
      <c r="AS220" s="29">
        <f t="shared" si="35"/>
        <v>0</v>
      </c>
      <c r="AT220" s="2"/>
      <c r="AU220" s="2"/>
      <c r="AV220" s="2"/>
      <c r="CE220" s="2">
        <f t="shared" si="29"/>
        <v>0</v>
      </c>
      <c r="CF220" s="19">
        <f t="shared" si="30"/>
        <v>0</v>
      </c>
      <c r="CG220" s="2">
        <f t="shared" si="31"/>
        <v>0</v>
      </c>
      <c r="CH220" s="24">
        <f t="shared" si="32"/>
        <v>0</v>
      </c>
      <c r="CI220" s="2"/>
      <c r="CJ220" s="20">
        <f t="shared" si="33"/>
        <v>0</v>
      </c>
    </row>
    <row r="221" spans="1:88" x14ac:dyDescent="0.25">
      <c r="A221" s="5"/>
      <c r="B221" s="5"/>
      <c r="C221" s="5"/>
      <c r="D221" s="5"/>
      <c r="E221" s="10">
        <f t="shared" si="27"/>
        <v>0</v>
      </c>
      <c r="F221" s="5"/>
      <c r="G221" s="21">
        <f t="shared" si="34"/>
        <v>0</v>
      </c>
      <c r="H221" s="2"/>
      <c r="I221" s="5"/>
      <c r="J221" s="5"/>
      <c r="AM221" s="2"/>
      <c r="AN221" s="2"/>
      <c r="AO221" s="2"/>
      <c r="AP221" s="2"/>
      <c r="AQ221" s="20">
        <f t="shared" si="28"/>
        <v>0</v>
      </c>
      <c r="AR221" s="2"/>
      <c r="AS221" s="29">
        <f t="shared" si="35"/>
        <v>0</v>
      </c>
      <c r="AT221" s="2"/>
      <c r="AU221" s="2"/>
      <c r="AV221" s="2"/>
      <c r="CE221" s="2">
        <f t="shared" si="29"/>
        <v>0</v>
      </c>
      <c r="CF221" s="19">
        <f t="shared" si="30"/>
        <v>0</v>
      </c>
      <c r="CG221" s="2">
        <f t="shared" si="31"/>
        <v>0</v>
      </c>
      <c r="CH221" s="24">
        <f t="shared" si="32"/>
        <v>0</v>
      </c>
      <c r="CI221" s="2"/>
      <c r="CJ221" s="20">
        <f t="shared" si="33"/>
        <v>0</v>
      </c>
    </row>
    <row r="222" spans="1:88" x14ac:dyDescent="0.25">
      <c r="A222" s="5"/>
      <c r="B222" s="5"/>
      <c r="C222" s="5"/>
      <c r="D222" s="5"/>
      <c r="E222" s="10">
        <f t="shared" si="27"/>
        <v>0</v>
      </c>
      <c r="F222" s="5"/>
      <c r="G222" s="21">
        <f t="shared" si="34"/>
        <v>0</v>
      </c>
      <c r="H222" s="2"/>
      <c r="I222" s="5"/>
      <c r="J222" s="5"/>
      <c r="AM222" s="2"/>
      <c r="AN222" s="2"/>
      <c r="AO222" s="2"/>
      <c r="AP222" s="2"/>
      <c r="AQ222" s="20">
        <f t="shared" si="28"/>
        <v>0</v>
      </c>
      <c r="AR222" s="2"/>
      <c r="AS222" s="29">
        <f t="shared" si="35"/>
        <v>0</v>
      </c>
      <c r="AT222" s="2"/>
      <c r="AU222" s="2"/>
      <c r="AV222" s="2"/>
      <c r="CE222" s="2">
        <f t="shared" si="29"/>
        <v>0</v>
      </c>
      <c r="CF222" s="19">
        <f t="shared" si="30"/>
        <v>0</v>
      </c>
      <c r="CG222" s="2">
        <f t="shared" si="31"/>
        <v>0</v>
      </c>
      <c r="CH222" s="24">
        <f t="shared" si="32"/>
        <v>0</v>
      </c>
      <c r="CI222" s="2"/>
      <c r="CJ222" s="20">
        <f t="shared" si="33"/>
        <v>0</v>
      </c>
    </row>
    <row r="223" spans="1:88" x14ac:dyDescent="0.25">
      <c r="A223" s="5"/>
      <c r="B223" s="5"/>
      <c r="C223" s="5"/>
      <c r="D223" s="5"/>
      <c r="E223" s="10">
        <f t="shared" si="27"/>
        <v>0</v>
      </c>
      <c r="F223" s="5"/>
      <c r="G223" s="21">
        <f t="shared" si="34"/>
        <v>0</v>
      </c>
      <c r="H223" s="2"/>
      <c r="I223" s="5"/>
      <c r="J223" s="5"/>
      <c r="AM223" s="2"/>
      <c r="AN223" s="2"/>
      <c r="AO223" s="2"/>
      <c r="AP223" s="2"/>
      <c r="AQ223" s="20">
        <f t="shared" si="28"/>
        <v>0</v>
      </c>
      <c r="AR223" s="2"/>
      <c r="AS223" s="29">
        <f t="shared" si="35"/>
        <v>0</v>
      </c>
      <c r="AT223" s="2"/>
      <c r="AU223" s="2"/>
      <c r="AV223" s="2"/>
      <c r="CE223" s="2">
        <f t="shared" si="29"/>
        <v>0</v>
      </c>
      <c r="CF223" s="19">
        <f t="shared" si="30"/>
        <v>0</v>
      </c>
      <c r="CG223" s="2">
        <f t="shared" si="31"/>
        <v>0</v>
      </c>
      <c r="CH223" s="24">
        <f t="shared" si="32"/>
        <v>0</v>
      </c>
      <c r="CI223" s="2"/>
      <c r="CJ223" s="20">
        <f t="shared" si="33"/>
        <v>0</v>
      </c>
    </row>
    <row r="224" spans="1:88" x14ac:dyDescent="0.25">
      <c r="A224" s="5"/>
      <c r="B224" s="5"/>
      <c r="C224" s="5"/>
      <c r="D224" s="5"/>
      <c r="E224" s="10">
        <f t="shared" si="27"/>
        <v>0</v>
      </c>
      <c r="F224" s="5"/>
      <c r="G224" s="21">
        <f t="shared" si="34"/>
        <v>0</v>
      </c>
      <c r="H224" s="2"/>
      <c r="I224" s="5"/>
      <c r="J224" s="5"/>
      <c r="AM224" s="2"/>
      <c r="AN224" s="2"/>
      <c r="AO224" s="2"/>
      <c r="AP224" s="2"/>
      <c r="AQ224" s="20">
        <f t="shared" si="28"/>
        <v>0</v>
      </c>
      <c r="AR224" s="2"/>
      <c r="AS224" s="29">
        <f t="shared" si="35"/>
        <v>0</v>
      </c>
      <c r="AT224" s="2"/>
      <c r="AU224" s="2"/>
      <c r="AV224" s="2"/>
      <c r="CE224" s="2">
        <f t="shared" si="29"/>
        <v>0</v>
      </c>
      <c r="CF224" s="19">
        <f t="shared" si="30"/>
        <v>0</v>
      </c>
      <c r="CG224" s="2">
        <f t="shared" si="31"/>
        <v>0</v>
      </c>
      <c r="CH224" s="24">
        <f t="shared" si="32"/>
        <v>0</v>
      </c>
      <c r="CI224" s="2"/>
      <c r="CJ224" s="20">
        <f t="shared" si="33"/>
        <v>0</v>
      </c>
    </row>
    <row r="225" spans="1:88" x14ac:dyDescent="0.25">
      <c r="A225" s="5"/>
      <c r="B225" s="5"/>
      <c r="C225" s="5"/>
      <c r="D225" s="5"/>
      <c r="E225" s="10">
        <f t="shared" si="27"/>
        <v>0</v>
      </c>
      <c r="F225" s="5"/>
      <c r="G225" s="21">
        <f t="shared" si="34"/>
        <v>0</v>
      </c>
      <c r="H225" s="2"/>
      <c r="I225" s="5"/>
      <c r="J225" s="5"/>
      <c r="AM225" s="2"/>
      <c r="AN225" s="2"/>
      <c r="AO225" s="2"/>
      <c r="AP225" s="2"/>
      <c r="AQ225" s="20">
        <f t="shared" si="28"/>
        <v>0</v>
      </c>
      <c r="AR225" s="2"/>
      <c r="AS225" s="29">
        <f t="shared" si="35"/>
        <v>0</v>
      </c>
      <c r="AT225" s="2"/>
      <c r="AU225" s="2"/>
      <c r="AV225" s="2"/>
      <c r="CE225" s="2">
        <f t="shared" si="29"/>
        <v>0</v>
      </c>
      <c r="CF225" s="19">
        <f t="shared" si="30"/>
        <v>0</v>
      </c>
      <c r="CG225" s="2">
        <f t="shared" si="31"/>
        <v>0</v>
      </c>
      <c r="CH225" s="24">
        <f t="shared" si="32"/>
        <v>0</v>
      </c>
      <c r="CI225" s="2"/>
      <c r="CJ225" s="20">
        <f t="shared" si="33"/>
        <v>0</v>
      </c>
    </row>
    <row r="226" spans="1:88" x14ac:dyDescent="0.25">
      <c r="A226" s="5"/>
      <c r="B226" s="5"/>
      <c r="C226" s="5"/>
      <c r="D226" s="5"/>
      <c r="E226" s="10">
        <f t="shared" si="27"/>
        <v>0</v>
      </c>
      <c r="F226" s="5"/>
      <c r="G226" s="21">
        <f t="shared" si="34"/>
        <v>0</v>
      </c>
      <c r="H226" s="2"/>
      <c r="I226" s="5"/>
      <c r="J226" s="5"/>
      <c r="AM226" s="2"/>
      <c r="AN226" s="2"/>
      <c r="AO226" s="2"/>
      <c r="AP226" s="2"/>
      <c r="AQ226" s="20">
        <f t="shared" si="28"/>
        <v>0</v>
      </c>
      <c r="AR226" s="2"/>
      <c r="AS226" s="29">
        <f t="shared" si="35"/>
        <v>0</v>
      </c>
      <c r="AT226" s="2"/>
      <c r="AU226" s="2"/>
      <c r="AV226" s="2"/>
      <c r="CE226" s="2">
        <f t="shared" si="29"/>
        <v>0</v>
      </c>
      <c r="CF226" s="19">
        <f t="shared" si="30"/>
        <v>0</v>
      </c>
      <c r="CG226" s="2">
        <f t="shared" si="31"/>
        <v>0</v>
      </c>
      <c r="CH226" s="24">
        <f t="shared" si="32"/>
        <v>0</v>
      </c>
      <c r="CI226" s="2"/>
      <c r="CJ226" s="20">
        <f t="shared" si="33"/>
        <v>0</v>
      </c>
    </row>
    <row r="227" spans="1:88" x14ac:dyDescent="0.25">
      <c r="A227" s="5"/>
      <c r="B227" s="5"/>
      <c r="C227" s="5"/>
      <c r="D227" s="5"/>
      <c r="E227" s="10">
        <f t="shared" si="27"/>
        <v>0</v>
      </c>
      <c r="F227" s="5"/>
      <c r="G227" s="21">
        <f t="shared" si="34"/>
        <v>0</v>
      </c>
      <c r="H227" s="2"/>
      <c r="I227" s="5"/>
      <c r="J227" s="5"/>
      <c r="AM227" s="2"/>
      <c r="AN227" s="2"/>
      <c r="AO227" s="2"/>
      <c r="AP227" s="2"/>
      <c r="AQ227" s="20">
        <f t="shared" si="28"/>
        <v>0</v>
      </c>
      <c r="AR227" s="2"/>
      <c r="AS227" s="29">
        <f t="shared" si="35"/>
        <v>0</v>
      </c>
      <c r="AT227" s="2"/>
      <c r="AU227" s="2"/>
      <c r="AV227" s="2"/>
      <c r="CE227" s="2">
        <f t="shared" si="29"/>
        <v>0</v>
      </c>
      <c r="CF227" s="19">
        <f t="shared" si="30"/>
        <v>0</v>
      </c>
      <c r="CG227" s="2">
        <f t="shared" si="31"/>
        <v>0</v>
      </c>
      <c r="CH227" s="24">
        <f t="shared" si="32"/>
        <v>0</v>
      </c>
      <c r="CI227" s="2"/>
      <c r="CJ227" s="20">
        <f t="shared" si="33"/>
        <v>0</v>
      </c>
    </row>
    <row r="228" spans="1:88" x14ac:dyDescent="0.25">
      <c r="A228" s="5"/>
      <c r="B228" s="5"/>
      <c r="C228" s="5"/>
      <c r="D228" s="5"/>
      <c r="E228" s="10">
        <f t="shared" si="27"/>
        <v>0</v>
      </c>
      <c r="F228" s="5"/>
      <c r="G228" s="21">
        <f t="shared" si="34"/>
        <v>0</v>
      </c>
      <c r="H228" s="2"/>
      <c r="I228" s="5"/>
      <c r="J228" s="5"/>
      <c r="AM228" s="2"/>
      <c r="AN228" s="2"/>
      <c r="AO228" s="2"/>
      <c r="AP228" s="2"/>
      <c r="AQ228" s="20">
        <f t="shared" si="28"/>
        <v>0</v>
      </c>
      <c r="AR228" s="2"/>
      <c r="AS228" s="29">
        <f t="shared" si="35"/>
        <v>0</v>
      </c>
      <c r="AT228" s="2"/>
      <c r="AU228" s="2"/>
      <c r="AV228" s="2"/>
      <c r="CE228" s="2">
        <f t="shared" si="29"/>
        <v>0</v>
      </c>
      <c r="CF228" s="19">
        <f t="shared" si="30"/>
        <v>0</v>
      </c>
      <c r="CG228" s="2">
        <f t="shared" si="31"/>
        <v>0</v>
      </c>
      <c r="CH228" s="24">
        <f t="shared" si="32"/>
        <v>0</v>
      </c>
      <c r="CI228" s="2"/>
      <c r="CJ228" s="20">
        <f t="shared" si="33"/>
        <v>0</v>
      </c>
    </row>
    <row r="229" spans="1:88" x14ac:dyDescent="0.25">
      <c r="A229" s="5"/>
      <c r="B229" s="5"/>
      <c r="C229" s="5"/>
      <c r="D229" s="5"/>
      <c r="E229" s="10">
        <f t="shared" si="27"/>
        <v>0</v>
      </c>
      <c r="F229" s="5"/>
      <c r="G229" s="21">
        <f t="shared" si="34"/>
        <v>0</v>
      </c>
      <c r="H229" s="2"/>
      <c r="I229" s="5"/>
      <c r="J229" s="5"/>
      <c r="AM229" s="2"/>
      <c r="AN229" s="2"/>
      <c r="AO229" s="2"/>
      <c r="AP229" s="2"/>
      <c r="AQ229" s="20">
        <f t="shared" si="28"/>
        <v>0</v>
      </c>
      <c r="AR229" s="2"/>
      <c r="AS229" s="29">
        <f t="shared" si="35"/>
        <v>0</v>
      </c>
      <c r="AT229" s="2"/>
      <c r="AU229" s="2"/>
      <c r="AV229" s="2"/>
      <c r="CE229" s="2">
        <f t="shared" si="29"/>
        <v>0</v>
      </c>
      <c r="CF229" s="19">
        <f t="shared" si="30"/>
        <v>0</v>
      </c>
      <c r="CG229" s="2">
        <f t="shared" si="31"/>
        <v>0</v>
      </c>
      <c r="CH229" s="24">
        <f t="shared" si="32"/>
        <v>0</v>
      </c>
      <c r="CI229" s="2"/>
      <c r="CJ229" s="20">
        <f t="shared" si="33"/>
        <v>0</v>
      </c>
    </row>
    <row r="230" spans="1:88" x14ac:dyDescent="0.25">
      <c r="A230" s="5"/>
      <c r="B230" s="5"/>
      <c r="C230" s="5"/>
      <c r="D230" s="5"/>
      <c r="E230" s="10">
        <f t="shared" si="27"/>
        <v>0</v>
      </c>
      <c r="F230" s="5"/>
      <c r="G230" s="21">
        <f t="shared" si="34"/>
        <v>0</v>
      </c>
      <c r="H230" s="2"/>
      <c r="I230" s="5"/>
      <c r="J230" s="5"/>
      <c r="AM230" s="2"/>
      <c r="AN230" s="2"/>
      <c r="AO230" s="2"/>
      <c r="AP230" s="2"/>
      <c r="AQ230" s="20">
        <f t="shared" si="28"/>
        <v>0</v>
      </c>
      <c r="AR230" s="2"/>
      <c r="AS230" s="29">
        <f t="shared" si="35"/>
        <v>0</v>
      </c>
      <c r="AT230" s="2"/>
      <c r="AU230" s="2"/>
      <c r="AV230" s="2"/>
      <c r="CE230" s="2">
        <f t="shared" si="29"/>
        <v>0</v>
      </c>
      <c r="CF230" s="19">
        <f t="shared" si="30"/>
        <v>0</v>
      </c>
      <c r="CG230" s="2">
        <f t="shared" si="31"/>
        <v>0</v>
      </c>
      <c r="CH230" s="24">
        <f t="shared" si="32"/>
        <v>0</v>
      </c>
      <c r="CI230" s="2"/>
      <c r="CJ230" s="20">
        <f t="shared" si="33"/>
        <v>0</v>
      </c>
    </row>
    <row r="231" spans="1:88" x14ac:dyDescent="0.25">
      <c r="A231" s="5"/>
      <c r="B231" s="5"/>
      <c r="C231" s="5"/>
      <c r="D231" s="5"/>
      <c r="E231" s="10">
        <f t="shared" si="27"/>
        <v>0</v>
      </c>
      <c r="F231" s="5"/>
      <c r="G231" s="21">
        <f t="shared" si="34"/>
        <v>0</v>
      </c>
      <c r="H231" s="2"/>
      <c r="I231" s="5"/>
      <c r="J231" s="5"/>
      <c r="AM231" s="2"/>
      <c r="AN231" s="2"/>
      <c r="AO231" s="2"/>
      <c r="AP231" s="2"/>
      <c r="AQ231" s="20">
        <f t="shared" si="28"/>
        <v>0</v>
      </c>
      <c r="AR231" s="2"/>
      <c r="AS231" s="29">
        <f t="shared" si="35"/>
        <v>0</v>
      </c>
      <c r="AT231" s="2"/>
      <c r="AU231" s="2"/>
      <c r="AV231" s="2"/>
      <c r="CE231" s="2">
        <f t="shared" si="29"/>
        <v>0</v>
      </c>
      <c r="CF231" s="19">
        <f t="shared" si="30"/>
        <v>0</v>
      </c>
      <c r="CG231" s="2">
        <f t="shared" si="31"/>
        <v>0</v>
      </c>
      <c r="CH231" s="24">
        <f t="shared" si="32"/>
        <v>0</v>
      </c>
      <c r="CI231" s="2"/>
      <c r="CJ231" s="20">
        <f t="shared" si="33"/>
        <v>0</v>
      </c>
    </row>
    <row r="232" spans="1:88" x14ac:dyDescent="0.25">
      <c r="A232" s="5"/>
      <c r="B232" s="5"/>
      <c r="C232" s="5"/>
      <c r="D232" s="5"/>
      <c r="E232" s="10">
        <f t="shared" si="27"/>
        <v>0</v>
      </c>
      <c r="F232" s="5"/>
      <c r="G232" s="21">
        <f t="shared" si="34"/>
        <v>0</v>
      </c>
      <c r="H232" s="2"/>
      <c r="I232" s="5"/>
      <c r="J232" s="5"/>
      <c r="AM232" s="2"/>
      <c r="AN232" s="2"/>
      <c r="AO232" s="2"/>
      <c r="AP232" s="2"/>
      <c r="AQ232" s="20">
        <f t="shared" si="28"/>
        <v>0</v>
      </c>
      <c r="AR232" s="2"/>
      <c r="AS232" s="29">
        <f t="shared" si="35"/>
        <v>0</v>
      </c>
      <c r="AT232" s="2"/>
      <c r="AU232" s="2"/>
      <c r="AV232" s="2"/>
      <c r="CE232" s="2">
        <f t="shared" si="29"/>
        <v>0</v>
      </c>
      <c r="CF232" s="19">
        <f t="shared" si="30"/>
        <v>0</v>
      </c>
      <c r="CG232" s="2">
        <f t="shared" si="31"/>
        <v>0</v>
      </c>
      <c r="CH232" s="24">
        <f t="shared" si="32"/>
        <v>0</v>
      </c>
      <c r="CI232" s="2"/>
      <c r="CJ232" s="20">
        <f t="shared" si="33"/>
        <v>0</v>
      </c>
    </row>
    <row r="233" spans="1:88" x14ac:dyDescent="0.25">
      <c r="A233" s="5"/>
      <c r="B233" s="5"/>
      <c r="C233" s="5"/>
      <c r="D233" s="5"/>
      <c r="E233" s="10">
        <f t="shared" si="27"/>
        <v>0</v>
      </c>
      <c r="F233" s="5"/>
      <c r="G233" s="21">
        <f t="shared" si="34"/>
        <v>0</v>
      </c>
      <c r="H233" s="2"/>
      <c r="I233" s="5"/>
      <c r="J233" s="5"/>
      <c r="AM233" s="2"/>
      <c r="AN233" s="2"/>
      <c r="AO233" s="2"/>
      <c r="AP233" s="2"/>
      <c r="AQ233" s="20">
        <f t="shared" si="28"/>
        <v>0</v>
      </c>
      <c r="AR233" s="2"/>
      <c r="AS233" s="29">
        <f t="shared" si="35"/>
        <v>0</v>
      </c>
      <c r="AT233" s="2"/>
      <c r="AU233" s="2"/>
      <c r="AV233" s="2"/>
      <c r="CE233" s="2">
        <f t="shared" si="29"/>
        <v>0</v>
      </c>
      <c r="CF233" s="19">
        <f t="shared" si="30"/>
        <v>0</v>
      </c>
      <c r="CG233" s="2">
        <f t="shared" si="31"/>
        <v>0</v>
      </c>
      <c r="CH233" s="24">
        <f t="shared" si="32"/>
        <v>0</v>
      </c>
      <c r="CI233" s="2"/>
      <c r="CJ233" s="20">
        <f t="shared" si="33"/>
        <v>0</v>
      </c>
    </row>
    <row r="234" spans="1:88" x14ac:dyDescent="0.25">
      <c r="A234" s="5"/>
      <c r="B234" s="5"/>
      <c r="C234" s="5"/>
      <c r="D234" s="5"/>
      <c r="E234" s="10">
        <f t="shared" si="27"/>
        <v>0</v>
      </c>
      <c r="F234" s="5"/>
      <c r="G234" s="21">
        <f t="shared" si="34"/>
        <v>0</v>
      </c>
      <c r="H234" s="2"/>
      <c r="I234" s="5"/>
      <c r="J234" s="5"/>
      <c r="AM234" s="2"/>
      <c r="AN234" s="2"/>
      <c r="AO234" s="2"/>
      <c r="AP234" s="2"/>
      <c r="AQ234" s="20">
        <f t="shared" si="28"/>
        <v>0</v>
      </c>
      <c r="AR234" s="2"/>
      <c r="AS234" s="29">
        <f t="shared" si="35"/>
        <v>0</v>
      </c>
      <c r="AT234" s="2"/>
      <c r="AU234" s="2"/>
      <c r="AV234" s="2"/>
      <c r="CE234" s="2">
        <f t="shared" si="29"/>
        <v>0</v>
      </c>
      <c r="CF234" s="19">
        <f t="shared" si="30"/>
        <v>0</v>
      </c>
      <c r="CG234" s="2">
        <f t="shared" si="31"/>
        <v>0</v>
      </c>
      <c r="CH234" s="24">
        <f t="shared" si="32"/>
        <v>0</v>
      </c>
      <c r="CI234" s="2"/>
      <c r="CJ234" s="20">
        <f t="shared" si="33"/>
        <v>0</v>
      </c>
    </row>
    <row r="235" spans="1:88" x14ac:dyDescent="0.25">
      <c r="A235" s="5"/>
      <c r="B235" s="5"/>
      <c r="C235" s="5"/>
      <c r="D235" s="5"/>
      <c r="E235" s="10">
        <f t="shared" si="27"/>
        <v>0</v>
      </c>
      <c r="F235" s="5"/>
      <c r="G235" s="21">
        <f t="shared" si="34"/>
        <v>0</v>
      </c>
      <c r="H235" s="2"/>
      <c r="I235" s="5"/>
      <c r="J235" s="5"/>
      <c r="AM235" s="2"/>
      <c r="AN235" s="2"/>
      <c r="AO235" s="2"/>
      <c r="AP235" s="2"/>
      <c r="AQ235" s="20">
        <f t="shared" si="28"/>
        <v>0</v>
      </c>
      <c r="AR235" s="2"/>
      <c r="AS235" s="29">
        <f t="shared" si="35"/>
        <v>0</v>
      </c>
      <c r="AT235" s="2"/>
      <c r="AU235" s="2"/>
      <c r="AV235" s="2"/>
      <c r="CE235" s="2">
        <f t="shared" si="29"/>
        <v>0</v>
      </c>
      <c r="CF235" s="19">
        <f t="shared" si="30"/>
        <v>0</v>
      </c>
      <c r="CG235" s="2">
        <f t="shared" si="31"/>
        <v>0</v>
      </c>
      <c r="CH235" s="24">
        <f t="shared" si="32"/>
        <v>0</v>
      </c>
      <c r="CI235" s="2"/>
      <c r="CJ235" s="20">
        <f t="shared" si="33"/>
        <v>0</v>
      </c>
    </row>
    <row r="236" spans="1:88" x14ac:dyDescent="0.25">
      <c r="A236" s="5"/>
      <c r="B236" s="5"/>
      <c r="C236" s="5"/>
      <c r="D236" s="5"/>
      <c r="E236" s="10">
        <f t="shared" si="27"/>
        <v>0</v>
      </c>
      <c r="F236" s="5"/>
      <c r="G236" s="21">
        <f t="shared" si="34"/>
        <v>0</v>
      </c>
      <c r="H236" s="2"/>
      <c r="I236" s="5"/>
      <c r="J236" s="5"/>
      <c r="AM236" s="2"/>
      <c r="AN236" s="2"/>
      <c r="AO236" s="2"/>
      <c r="AP236" s="2"/>
      <c r="AQ236" s="20">
        <f t="shared" si="28"/>
        <v>0</v>
      </c>
      <c r="AR236" s="2"/>
      <c r="AS236" s="29">
        <f t="shared" si="35"/>
        <v>0</v>
      </c>
      <c r="AT236" s="2"/>
      <c r="AU236" s="2"/>
      <c r="AV236" s="2"/>
      <c r="CE236" s="2">
        <f t="shared" si="29"/>
        <v>0</v>
      </c>
      <c r="CF236" s="19">
        <f t="shared" si="30"/>
        <v>0</v>
      </c>
      <c r="CG236" s="2">
        <f t="shared" si="31"/>
        <v>0</v>
      </c>
      <c r="CH236" s="24">
        <f t="shared" si="32"/>
        <v>0</v>
      </c>
      <c r="CI236" s="2"/>
      <c r="CJ236" s="20">
        <f t="shared" si="33"/>
        <v>0</v>
      </c>
    </row>
    <row r="237" spans="1:88" x14ac:dyDescent="0.25">
      <c r="A237" s="5"/>
      <c r="B237" s="5"/>
      <c r="C237" s="5"/>
      <c r="D237" s="5"/>
      <c r="E237" s="10">
        <f t="shared" si="27"/>
        <v>0</v>
      </c>
      <c r="F237" s="5"/>
      <c r="G237" s="21">
        <f t="shared" si="34"/>
        <v>0</v>
      </c>
      <c r="H237" s="2"/>
      <c r="I237" s="5"/>
      <c r="J237" s="5"/>
      <c r="AM237" s="2"/>
      <c r="AN237" s="2"/>
      <c r="AO237" s="2"/>
      <c r="AP237" s="2"/>
      <c r="AQ237" s="20">
        <f t="shared" si="28"/>
        <v>0</v>
      </c>
      <c r="AR237" s="2"/>
      <c r="AS237" s="29">
        <f t="shared" si="35"/>
        <v>0</v>
      </c>
      <c r="AT237" s="2"/>
      <c r="AU237" s="2"/>
      <c r="AV237" s="2"/>
      <c r="CE237" s="2">
        <f t="shared" si="29"/>
        <v>0</v>
      </c>
      <c r="CF237" s="19">
        <f t="shared" si="30"/>
        <v>0</v>
      </c>
      <c r="CG237" s="2">
        <f t="shared" si="31"/>
        <v>0</v>
      </c>
      <c r="CH237" s="24">
        <f t="shared" si="32"/>
        <v>0</v>
      </c>
      <c r="CI237" s="2"/>
      <c r="CJ237" s="20">
        <f t="shared" si="33"/>
        <v>0</v>
      </c>
    </row>
    <row r="238" spans="1:88" x14ac:dyDescent="0.25">
      <c r="A238" s="5"/>
      <c r="B238" s="5"/>
      <c r="C238" s="5"/>
      <c r="D238" s="5"/>
      <c r="E238" s="10">
        <f t="shared" si="27"/>
        <v>0</v>
      </c>
      <c r="F238" s="5"/>
      <c r="G238" s="21">
        <f t="shared" si="34"/>
        <v>0</v>
      </c>
      <c r="H238" s="2"/>
      <c r="I238" s="5"/>
      <c r="J238" s="5"/>
      <c r="AM238" s="2"/>
      <c r="AN238" s="2"/>
      <c r="AO238" s="2"/>
      <c r="AP238" s="2"/>
      <c r="AQ238" s="20">
        <f t="shared" si="28"/>
        <v>0</v>
      </c>
      <c r="AR238" s="2"/>
      <c r="AS238" s="29">
        <f t="shared" si="35"/>
        <v>0</v>
      </c>
      <c r="AT238" s="2"/>
      <c r="AU238" s="2"/>
      <c r="AV238" s="2"/>
      <c r="CE238" s="2">
        <f t="shared" si="29"/>
        <v>0</v>
      </c>
      <c r="CF238" s="19">
        <f t="shared" si="30"/>
        <v>0</v>
      </c>
      <c r="CG238" s="2">
        <f t="shared" si="31"/>
        <v>0</v>
      </c>
      <c r="CH238" s="24">
        <f t="shared" si="32"/>
        <v>0</v>
      </c>
      <c r="CI238" s="2"/>
      <c r="CJ238" s="20">
        <f t="shared" si="33"/>
        <v>0</v>
      </c>
    </row>
    <row r="239" spans="1:88" x14ac:dyDescent="0.25">
      <c r="A239" s="5"/>
      <c r="B239" s="5"/>
      <c r="C239" s="5"/>
      <c r="D239" s="5"/>
      <c r="E239" s="10">
        <f t="shared" si="27"/>
        <v>0</v>
      </c>
      <c r="F239" s="5"/>
      <c r="G239" s="21">
        <f t="shared" si="34"/>
        <v>0</v>
      </c>
      <c r="H239" s="2"/>
      <c r="I239" s="5"/>
      <c r="J239" s="5"/>
      <c r="AM239" s="2"/>
      <c r="AN239" s="2"/>
      <c r="AO239" s="2"/>
      <c r="AP239" s="2"/>
      <c r="AQ239" s="20">
        <f t="shared" si="28"/>
        <v>0</v>
      </c>
      <c r="AR239" s="2"/>
      <c r="AS239" s="29">
        <f t="shared" si="35"/>
        <v>0</v>
      </c>
      <c r="AT239" s="2"/>
      <c r="AU239" s="2"/>
      <c r="AV239" s="2"/>
      <c r="CE239" s="2">
        <f t="shared" si="29"/>
        <v>0</v>
      </c>
      <c r="CF239" s="19">
        <f t="shared" si="30"/>
        <v>0</v>
      </c>
      <c r="CG239" s="2">
        <f t="shared" si="31"/>
        <v>0</v>
      </c>
      <c r="CH239" s="24">
        <f t="shared" si="32"/>
        <v>0</v>
      </c>
      <c r="CI239" s="2"/>
      <c r="CJ239" s="20">
        <f t="shared" si="33"/>
        <v>0</v>
      </c>
    </row>
    <row r="240" spans="1:88" x14ac:dyDescent="0.25">
      <c r="A240" s="5"/>
      <c r="B240" s="5"/>
      <c r="C240" s="5"/>
      <c r="D240" s="5"/>
      <c r="E240" s="10">
        <f t="shared" si="27"/>
        <v>0</v>
      </c>
      <c r="F240" s="5"/>
      <c r="G240" s="21">
        <f t="shared" si="34"/>
        <v>0</v>
      </c>
      <c r="H240" s="2"/>
      <c r="I240" s="5"/>
      <c r="J240" s="5"/>
      <c r="AM240" s="2"/>
      <c r="AN240" s="2"/>
      <c r="AO240" s="2"/>
      <c r="AP240" s="2"/>
      <c r="AQ240" s="20">
        <f t="shared" si="28"/>
        <v>0</v>
      </c>
      <c r="AR240" s="2"/>
      <c r="AS240" s="29">
        <f t="shared" si="35"/>
        <v>0</v>
      </c>
      <c r="AT240" s="2"/>
      <c r="AU240" s="2"/>
      <c r="AV240" s="2"/>
      <c r="CE240" s="2">
        <f t="shared" si="29"/>
        <v>0</v>
      </c>
      <c r="CF240" s="19">
        <f t="shared" si="30"/>
        <v>0</v>
      </c>
      <c r="CG240" s="2">
        <f t="shared" si="31"/>
        <v>0</v>
      </c>
      <c r="CH240" s="24">
        <f t="shared" si="32"/>
        <v>0</v>
      </c>
      <c r="CI240" s="2"/>
      <c r="CJ240" s="20">
        <f t="shared" si="33"/>
        <v>0</v>
      </c>
    </row>
    <row r="241" spans="1:88" x14ac:dyDescent="0.25">
      <c r="A241" s="5"/>
      <c r="B241" s="5"/>
      <c r="C241" s="5"/>
      <c r="D241" s="5"/>
      <c r="E241" s="10">
        <f t="shared" si="27"/>
        <v>0</v>
      </c>
      <c r="F241" s="5"/>
      <c r="G241" s="21">
        <f t="shared" si="34"/>
        <v>0</v>
      </c>
      <c r="H241" s="2"/>
      <c r="I241" s="5"/>
      <c r="J241" s="5"/>
      <c r="AM241" s="2"/>
      <c r="AN241" s="2"/>
      <c r="AO241" s="2"/>
      <c r="AP241" s="2"/>
      <c r="AQ241" s="20">
        <f t="shared" si="28"/>
        <v>0</v>
      </c>
      <c r="AR241" s="2"/>
      <c r="AS241" s="29">
        <f t="shared" si="35"/>
        <v>0</v>
      </c>
      <c r="AT241" s="2"/>
      <c r="AU241" s="2"/>
      <c r="AV241" s="2"/>
      <c r="CE241" s="2">
        <f t="shared" si="29"/>
        <v>0</v>
      </c>
      <c r="CF241" s="19">
        <f t="shared" si="30"/>
        <v>0</v>
      </c>
      <c r="CG241" s="2">
        <f t="shared" si="31"/>
        <v>0</v>
      </c>
      <c r="CH241" s="24">
        <f t="shared" si="32"/>
        <v>0</v>
      </c>
      <c r="CI241" s="2"/>
      <c r="CJ241" s="20">
        <f t="shared" si="33"/>
        <v>0</v>
      </c>
    </row>
    <row r="242" spans="1:88" x14ac:dyDescent="0.25">
      <c r="A242" s="5"/>
      <c r="B242" s="5"/>
      <c r="C242" s="5"/>
      <c r="D242" s="5"/>
      <c r="E242" s="10">
        <f t="shared" si="27"/>
        <v>0</v>
      </c>
      <c r="F242" s="5"/>
      <c r="G242" s="21">
        <f t="shared" si="34"/>
        <v>0</v>
      </c>
      <c r="H242" s="2"/>
      <c r="I242" s="5"/>
      <c r="J242" s="5"/>
      <c r="AM242" s="2"/>
      <c r="AN242" s="2"/>
      <c r="AO242" s="2"/>
      <c r="AP242" s="2"/>
      <c r="AQ242" s="20">
        <f t="shared" si="28"/>
        <v>0</v>
      </c>
      <c r="AR242" s="2"/>
      <c r="AS242" s="29">
        <f t="shared" si="35"/>
        <v>0</v>
      </c>
      <c r="AT242" s="2"/>
      <c r="AU242" s="2"/>
      <c r="AV242" s="2"/>
      <c r="CE242" s="2">
        <f t="shared" si="29"/>
        <v>0</v>
      </c>
      <c r="CF242" s="19">
        <f t="shared" si="30"/>
        <v>0</v>
      </c>
      <c r="CG242" s="2">
        <f t="shared" si="31"/>
        <v>0</v>
      </c>
      <c r="CH242" s="24">
        <f t="shared" si="32"/>
        <v>0</v>
      </c>
      <c r="CI242" s="2"/>
      <c r="CJ242" s="20">
        <f t="shared" si="33"/>
        <v>0</v>
      </c>
    </row>
    <row r="243" spans="1:88" x14ac:dyDescent="0.25">
      <c r="A243" s="5"/>
      <c r="B243" s="5"/>
      <c r="C243" s="5"/>
      <c r="D243" s="5"/>
      <c r="E243" s="10">
        <f t="shared" si="27"/>
        <v>0</v>
      </c>
      <c r="F243" s="5"/>
      <c r="G243" s="21">
        <f t="shared" si="34"/>
        <v>0</v>
      </c>
      <c r="H243" s="2"/>
      <c r="I243" s="5"/>
      <c r="J243" s="5"/>
      <c r="AM243" s="2"/>
      <c r="AN243" s="2"/>
      <c r="AO243" s="2"/>
      <c r="AP243" s="2"/>
      <c r="AQ243" s="20">
        <f t="shared" si="28"/>
        <v>0</v>
      </c>
      <c r="AR243" s="2"/>
      <c r="AS243" s="29">
        <f t="shared" si="35"/>
        <v>0</v>
      </c>
      <c r="AT243" s="2"/>
      <c r="AU243" s="2"/>
      <c r="AV243" s="2"/>
      <c r="CE243" s="2">
        <f t="shared" si="29"/>
        <v>0</v>
      </c>
      <c r="CF243" s="19">
        <f t="shared" si="30"/>
        <v>0</v>
      </c>
      <c r="CG243" s="2">
        <f t="shared" si="31"/>
        <v>0</v>
      </c>
      <c r="CH243" s="24">
        <f t="shared" si="32"/>
        <v>0</v>
      </c>
      <c r="CI243" s="2"/>
      <c r="CJ243" s="20">
        <f t="shared" si="33"/>
        <v>0</v>
      </c>
    </row>
    <row r="244" spans="1:88" x14ac:dyDescent="0.25">
      <c r="A244" s="5"/>
      <c r="B244" s="5"/>
      <c r="C244" s="5"/>
      <c r="D244" s="5"/>
      <c r="E244" s="10">
        <f t="shared" si="27"/>
        <v>0</v>
      </c>
      <c r="F244" s="5"/>
      <c r="G244" s="21">
        <f t="shared" si="34"/>
        <v>0</v>
      </c>
      <c r="H244" s="2"/>
      <c r="I244" s="5"/>
      <c r="J244" s="5"/>
      <c r="AM244" s="2"/>
      <c r="AN244" s="2"/>
      <c r="AO244" s="2"/>
      <c r="AP244" s="2"/>
      <c r="AQ244" s="20">
        <f t="shared" si="28"/>
        <v>0</v>
      </c>
      <c r="AR244" s="2"/>
      <c r="AS244" s="29">
        <f t="shared" si="35"/>
        <v>0</v>
      </c>
      <c r="AT244" s="2"/>
      <c r="AU244" s="2"/>
      <c r="AV244" s="2"/>
      <c r="CE244" s="2">
        <f t="shared" si="29"/>
        <v>0</v>
      </c>
      <c r="CF244" s="19">
        <f t="shared" si="30"/>
        <v>0</v>
      </c>
      <c r="CG244" s="2">
        <f t="shared" si="31"/>
        <v>0</v>
      </c>
      <c r="CH244" s="24">
        <f t="shared" si="32"/>
        <v>0</v>
      </c>
      <c r="CI244" s="2"/>
      <c r="CJ244" s="20">
        <f t="shared" si="33"/>
        <v>0</v>
      </c>
    </row>
    <row r="245" spans="1:88" x14ac:dyDescent="0.25">
      <c r="A245" s="5"/>
      <c r="B245" s="5"/>
      <c r="C245" s="5"/>
      <c r="D245" s="5"/>
      <c r="E245" s="10">
        <f t="shared" si="27"/>
        <v>0</v>
      </c>
      <c r="F245" s="5"/>
      <c r="G245" s="21">
        <f t="shared" si="34"/>
        <v>0</v>
      </c>
      <c r="H245" s="2"/>
      <c r="I245" s="5"/>
      <c r="J245" s="5"/>
      <c r="AM245" s="2"/>
      <c r="AN245" s="2"/>
      <c r="AO245" s="2"/>
      <c r="AP245" s="2"/>
      <c r="AQ245" s="20">
        <f t="shared" si="28"/>
        <v>0</v>
      </c>
      <c r="AR245" s="2"/>
      <c r="AS245" s="29">
        <f t="shared" si="35"/>
        <v>0</v>
      </c>
      <c r="AT245" s="2"/>
      <c r="AU245" s="2"/>
      <c r="AV245" s="2"/>
      <c r="CE245" s="2">
        <f t="shared" si="29"/>
        <v>0</v>
      </c>
      <c r="CF245" s="19">
        <f t="shared" si="30"/>
        <v>0</v>
      </c>
      <c r="CG245" s="2">
        <f t="shared" si="31"/>
        <v>0</v>
      </c>
      <c r="CH245" s="24">
        <f t="shared" si="32"/>
        <v>0</v>
      </c>
      <c r="CI245" s="2"/>
      <c r="CJ245" s="20">
        <f t="shared" si="33"/>
        <v>0</v>
      </c>
    </row>
    <row r="246" spans="1:88" x14ac:dyDescent="0.25">
      <c r="A246" s="5"/>
      <c r="B246" s="5"/>
      <c r="C246" s="5"/>
      <c r="D246" s="5"/>
      <c r="E246" s="10">
        <f t="shared" si="27"/>
        <v>0</v>
      </c>
      <c r="F246" s="5"/>
      <c r="G246" s="21">
        <f t="shared" si="34"/>
        <v>0</v>
      </c>
      <c r="H246" s="2"/>
      <c r="I246" s="5"/>
      <c r="J246" s="5"/>
      <c r="AM246" s="2"/>
      <c r="AN246" s="2"/>
      <c r="AO246" s="2"/>
      <c r="AP246" s="2"/>
      <c r="AQ246" s="20">
        <f t="shared" si="28"/>
        <v>0</v>
      </c>
      <c r="AR246" s="2"/>
      <c r="AS246" s="29">
        <f t="shared" si="35"/>
        <v>0</v>
      </c>
      <c r="AT246" s="2"/>
      <c r="AU246" s="2"/>
      <c r="AV246" s="2"/>
      <c r="CE246" s="2">
        <f t="shared" si="29"/>
        <v>0</v>
      </c>
      <c r="CF246" s="19">
        <f t="shared" si="30"/>
        <v>0</v>
      </c>
      <c r="CG246" s="2">
        <f t="shared" si="31"/>
        <v>0</v>
      </c>
      <c r="CH246" s="24">
        <f t="shared" si="32"/>
        <v>0</v>
      </c>
      <c r="CI246" s="2"/>
      <c r="CJ246" s="20">
        <f t="shared" si="33"/>
        <v>0</v>
      </c>
    </row>
    <row r="247" spans="1:88" x14ac:dyDescent="0.25">
      <c r="A247" s="5"/>
      <c r="B247" s="5"/>
      <c r="C247" s="5"/>
      <c r="D247" s="5"/>
      <c r="E247" s="10">
        <f t="shared" si="27"/>
        <v>0</v>
      </c>
      <c r="F247" s="5"/>
      <c r="G247" s="21">
        <f t="shared" si="34"/>
        <v>0</v>
      </c>
      <c r="H247" s="26"/>
      <c r="I247" s="5"/>
      <c r="J247" s="5"/>
      <c r="AM247" s="2"/>
      <c r="AN247" s="2"/>
      <c r="AO247" s="2"/>
      <c r="AP247" s="2"/>
      <c r="AQ247" s="20">
        <f t="shared" si="28"/>
        <v>0</v>
      </c>
      <c r="AR247" s="2"/>
      <c r="AS247" s="29">
        <f t="shared" si="35"/>
        <v>0</v>
      </c>
      <c r="AT247" s="2"/>
      <c r="AU247" s="2"/>
      <c r="AV247" s="2"/>
      <c r="CE247" s="2">
        <f t="shared" si="29"/>
        <v>0</v>
      </c>
      <c r="CF247" s="19">
        <f t="shared" si="30"/>
        <v>0</v>
      </c>
      <c r="CG247" s="2">
        <f t="shared" si="31"/>
        <v>0</v>
      </c>
      <c r="CH247" s="24">
        <f t="shared" si="32"/>
        <v>0</v>
      </c>
      <c r="CI247" s="2"/>
      <c r="CJ247" s="20">
        <f t="shared" si="33"/>
        <v>0</v>
      </c>
    </row>
    <row r="248" spans="1:88" x14ac:dyDescent="0.25">
      <c r="A248" s="5"/>
      <c r="B248" s="5"/>
      <c r="C248" s="5"/>
      <c r="D248" s="5"/>
      <c r="E248" s="10">
        <f t="shared" si="27"/>
        <v>0</v>
      </c>
      <c r="F248" s="5"/>
      <c r="G248" s="21">
        <f t="shared" si="34"/>
        <v>0</v>
      </c>
      <c r="H248" s="2"/>
      <c r="I248" s="5"/>
      <c r="J248" s="5"/>
      <c r="AM248" s="2"/>
      <c r="AN248" s="2"/>
      <c r="AO248" s="2"/>
      <c r="AP248" s="2"/>
      <c r="AQ248" s="20">
        <f t="shared" si="28"/>
        <v>0</v>
      </c>
      <c r="AR248" s="2"/>
      <c r="AS248" s="29">
        <f t="shared" si="35"/>
        <v>0</v>
      </c>
      <c r="AT248" s="2"/>
      <c r="AU248" s="2"/>
      <c r="AV248" s="2"/>
      <c r="CE248" s="2">
        <f t="shared" si="29"/>
        <v>0</v>
      </c>
      <c r="CF248" s="19">
        <f t="shared" si="30"/>
        <v>0</v>
      </c>
      <c r="CG248" s="2">
        <f t="shared" si="31"/>
        <v>0</v>
      </c>
      <c r="CH248" s="24">
        <f t="shared" si="32"/>
        <v>0</v>
      </c>
      <c r="CI248" s="2"/>
      <c r="CJ248" s="20">
        <f t="shared" si="33"/>
        <v>0</v>
      </c>
    </row>
    <row r="249" spans="1:88" x14ac:dyDescent="0.25">
      <c r="A249" s="5"/>
      <c r="B249" s="5"/>
      <c r="C249" s="5"/>
      <c r="D249" s="5"/>
      <c r="E249" s="10">
        <f t="shared" si="27"/>
        <v>0</v>
      </c>
      <c r="F249" s="5"/>
      <c r="G249" s="21">
        <f t="shared" si="34"/>
        <v>0</v>
      </c>
      <c r="H249" s="2"/>
      <c r="I249" s="5"/>
      <c r="J249" s="5"/>
      <c r="AM249" s="2"/>
      <c r="AN249" s="2"/>
      <c r="AO249" s="2"/>
      <c r="AP249" s="2"/>
      <c r="AQ249" s="20">
        <f t="shared" si="28"/>
        <v>0</v>
      </c>
      <c r="AR249" s="2"/>
      <c r="AS249" s="29">
        <f t="shared" si="35"/>
        <v>0</v>
      </c>
      <c r="AT249" s="2"/>
      <c r="AU249" s="2"/>
      <c r="AV249" s="2"/>
      <c r="CE249" s="2">
        <f t="shared" si="29"/>
        <v>0</v>
      </c>
      <c r="CF249" s="19">
        <f t="shared" si="30"/>
        <v>0</v>
      </c>
      <c r="CG249" s="2">
        <f t="shared" si="31"/>
        <v>0</v>
      </c>
      <c r="CH249" s="24">
        <f t="shared" si="32"/>
        <v>0</v>
      </c>
      <c r="CI249" s="2"/>
      <c r="CJ249" s="20">
        <f t="shared" si="33"/>
        <v>0</v>
      </c>
    </row>
    <row r="250" spans="1:88" x14ac:dyDescent="0.25">
      <c r="A250" s="5"/>
      <c r="B250" s="5"/>
      <c r="C250" s="5"/>
      <c r="D250" s="5"/>
      <c r="E250" s="10">
        <f t="shared" si="27"/>
        <v>0</v>
      </c>
      <c r="F250" s="5"/>
      <c r="G250" s="21">
        <f t="shared" si="34"/>
        <v>0</v>
      </c>
      <c r="H250" s="2"/>
      <c r="I250" s="5"/>
      <c r="J250" s="5"/>
      <c r="AM250" s="2"/>
      <c r="AN250" s="2"/>
      <c r="AO250" s="2"/>
      <c r="AP250" s="2"/>
      <c r="AQ250" s="20">
        <f t="shared" si="28"/>
        <v>0</v>
      </c>
      <c r="AR250" s="2"/>
      <c r="AS250" s="29">
        <f t="shared" si="35"/>
        <v>0</v>
      </c>
      <c r="AT250" s="2"/>
      <c r="AU250" s="2"/>
      <c r="AV250" s="2"/>
      <c r="CE250" s="2">
        <f t="shared" si="29"/>
        <v>0</v>
      </c>
      <c r="CF250" s="19">
        <f t="shared" si="30"/>
        <v>0</v>
      </c>
      <c r="CG250" s="2">
        <f t="shared" si="31"/>
        <v>0</v>
      </c>
      <c r="CH250" s="24">
        <f t="shared" si="32"/>
        <v>0</v>
      </c>
      <c r="CI250" s="2"/>
      <c r="CJ250" s="20">
        <f t="shared" si="33"/>
        <v>0</v>
      </c>
    </row>
    <row r="251" spans="1:88" x14ac:dyDescent="0.25">
      <c r="A251" s="5"/>
      <c r="B251" s="5"/>
      <c r="C251" s="5"/>
      <c r="D251" s="5"/>
      <c r="E251" s="10">
        <f t="shared" si="27"/>
        <v>0</v>
      </c>
      <c r="F251" s="5"/>
      <c r="G251" s="21">
        <f t="shared" si="34"/>
        <v>0</v>
      </c>
      <c r="H251" s="2"/>
      <c r="I251" s="5"/>
      <c r="J251" s="5"/>
      <c r="AM251" s="2"/>
      <c r="AN251" s="2"/>
      <c r="AO251" s="2"/>
      <c r="AP251" s="2"/>
      <c r="AQ251" s="20">
        <f t="shared" si="28"/>
        <v>0</v>
      </c>
      <c r="AR251" s="2"/>
      <c r="AS251" s="29">
        <f t="shared" si="35"/>
        <v>0</v>
      </c>
      <c r="AT251" s="2"/>
      <c r="AU251" s="2"/>
      <c r="AV251" s="2"/>
      <c r="CE251" s="2">
        <f t="shared" si="29"/>
        <v>0</v>
      </c>
      <c r="CF251" s="19">
        <f t="shared" si="30"/>
        <v>0</v>
      </c>
      <c r="CG251" s="2">
        <f t="shared" si="31"/>
        <v>0</v>
      </c>
      <c r="CH251" s="24">
        <f t="shared" si="32"/>
        <v>0</v>
      </c>
      <c r="CI251" s="2"/>
      <c r="CJ251" s="20">
        <f t="shared" si="33"/>
        <v>0</v>
      </c>
    </row>
    <row r="252" spans="1:88" x14ac:dyDescent="0.25">
      <c r="A252" s="5"/>
      <c r="B252" s="5"/>
      <c r="C252" s="5"/>
      <c r="D252" s="5"/>
      <c r="E252" s="10">
        <f t="shared" si="27"/>
        <v>0</v>
      </c>
      <c r="F252" s="5"/>
      <c r="G252" s="21">
        <f t="shared" si="34"/>
        <v>0</v>
      </c>
      <c r="H252" s="2"/>
      <c r="I252" s="5"/>
      <c r="J252" s="5"/>
      <c r="AM252" s="2"/>
      <c r="AN252" s="2"/>
      <c r="AO252" s="2"/>
      <c r="AP252" s="2"/>
      <c r="AQ252" s="20">
        <f t="shared" si="28"/>
        <v>0</v>
      </c>
      <c r="AR252" s="2"/>
      <c r="AS252" s="29">
        <f t="shared" si="35"/>
        <v>0</v>
      </c>
      <c r="AT252" s="2"/>
      <c r="AU252" s="2"/>
      <c r="AV252" s="2"/>
      <c r="CE252" s="2">
        <f t="shared" si="29"/>
        <v>0</v>
      </c>
      <c r="CF252" s="19">
        <f t="shared" si="30"/>
        <v>0</v>
      </c>
      <c r="CG252" s="2">
        <f t="shared" si="31"/>
        <v>0</v>
      </c>
      <c r="CH252" s="24">
        <f t="shared" si="32"/>
        <v>0</v>
      </c>
      <c r="CI252" s="2"/>
      <c r="CJ252" s="20">
        <f t="shared" si="33"/>
        <v>0</v>
      </c>
    </row>
    <row r="253" spans="1:88" x14ac:dyDescent="0.25">
      <c r="A253" s="5"/>
      <c r="B253" s="5"/>
      <c r="C253" s="5"/>
      <c r="D253" s="5"/>
      <c r="E253" s="10">
        <f t="shared" si="27"/>
        <v>0</v>
      </c>
      <c r="F253" s="5"/>
      <c r="G253" s="21">
        <f t="shared" si="34"/>
        <v>0</v>
      </c>
      <c r="H253" s="2"/>
      <c r="I253" s="5"/>
      <c r="J253" s="5"/>
      <c r="AM253" s="2"/>
      <c r="AN253" s="2"/>
      <c r="AO253" s="2"/>
      <c r="AP253" s="2"/>
      <c r="AQ253" s="20">
        <f t="shared" si="28"/>
        <v>0</v>
      </c>
      <c r="AR253" s="2"/>
      <c r="AS253" s="29">
        <f t="shared" si="35"/>
        <v>0</v>
      </c>
      <c r="AT253" s="2"/>
      <c r="AU253" s="2"/>
      <c r="AV253" s="2"/>
      <c r="CE253" s="2">
        <f t="shared" si="29"/>
        <v>0</v>
      </c>
      <c r="CF253" s="19">
        <f t="shared" si="30"/>
        <v>0</v>
      </c>
      <c r="CG253" s="2">
        <f t="shared" si="31"/>
        <v>0</v>
      </c>
      <c r="CH253" s="24">
        <f t="shared" si="32"/>
        <v>0</v>
      </c>
      <c r="CI253" s="2"/>
      <c r="CJ253" s="20">
        <f t="shared" si="33"/>
        <v>0</v>
      </c>
    </row>
    <row r="254" spans="1:88" x14ac:dyDescent="0.25">
      <c r="A254" s="5"/>
      <c r="B254" s="5"/>
      <c r="C254" s="5"/>
      <c r="D254" s="5"/>
      <c r="E254" s="10">
        <f t="shared" si="27"/>
        <v>0</v>
      </c>
      <c r="F254" s="5"/>
      <c r="G254" s="21">
        <f t="shared" si="34"/>
        <v>0</v>
      </c>
      <c r="H254" s="2"/>
      <c r="I254" s="5"/>
      <c r="J254" s="5"/>
      <c r="AM254" s="2"/>
      <c r="AN254" s="2"/>
      <c r="AO254" s="2"/>
      <c r="AP254" s="2"/>
      <c r="AQ254" s="20">
        <f t="shared" si="28"/>
        <v>0</v>
      </c>
      <c r="AR254" s="2"/>
      <c r="AS254" s="29">
        <f t="shared" si="35"/>
        <v>0</v>
      </c>
      <c r="AT254" s="2"/>
      <c r="AU254" s="2"/>
      <c r="AV254" s="2"/>
      <c r="CE254" s="2">
        <f t="shared" si="29"/>
        <v>0</v>
      </c>
      <c r="CF254" s="19">
        <f t="shared" si="30"/>
        <v>0</v>
      </c>
      <c r="CG254" s="2">
        <f t="shared" si="31"/>
        <v>0</v>
      </c>
      <c r="CH254" s="24">
        <f t="shared" si="32"/>
        <v>0</v>
      </c>
      <c r="CI254" s="2"/>
      <c r="CJ254" s="20">
        <f t="shared" si="33"/>
        <v>0</v>
      </c>
    </row>
    <row r="255" spans="1:88" x14ac:dyDescent="0.25">
      <c r="A255" s="5"/>
      <c r="B255" s="5"/>
      <c r="C255" s="5"/>
      <c r="D255" s="5"/>
      <c r="E255" s="10">
        <f t="shared" si="27"/>
        <v>0</v>
      </c>
      <c r="F255" s="5"/>
      <c r="G255" s="21">
        <f t="shared" si="34"/>
        <v>0</v>
      </c>
      <c r="H255" s="2"/>
      <c r="I255" s="5"/>
      <c r="J255" s="5"/>
      <c r="AM255" s="2"/>
      <c r="AN255" s="2"/>
      <c r="AO255" s="2"/>
      <c r="AP255" s="2"/>
      <c r="AQ255" s="20">
        <f t="shared" si="28"/>
        <v>0</v>
      </c>
      <c r="AR255" s="2"/>
      <c r="AS255" s="29">
        <f t="shared" si="35"/>
        <v>0</v>
      </c>
      <c r="AT255" s="2"/>
      <c r="AU255" s="2"/>
      <c r="AV255" s="2"/>
      <c r="CE255" s="2">
        <f t="shared" si="29"/>
        <v>0</v>
      </c>
      <c r="CF255" s="19">
        <f t="shared" si="30"/>
        <v>0</v>
      </c>
      <c r="CG255" s="2">
        <f t="shared" si="31"/>
        <v>0</v>
      </c>
      <c r="CH255" s="24">
        <f t="shared" si="32"/>
        <v>0</v>
      </c>
      <c r="CI255" s="2"/>
      <c r="CJ255" s="20">
        <f t="shared" si="33"/>
        <v>0</v>
      </c>
    </row>
    <row r="256" spans="1:88" x14ac:dyDescent="0.25">
      <c r="A256" s="5"/>
      <c r="B256" s="5"/>
      <c r="C256" s="5"/>
      <c r="D256" s="5"/>
      <c r="E256" s="10">
        <f t="shared" si="27"/>
        <v>0</v>
      </c>
      <c r="F256" s="5"/>
      <c r="G256" s="21">
        <f t="shared" si="34"/>
        <v>0</v>
      </c>
      <c r="H256" s="2"/>
      <c r="I256" s="5"/>
      <c r="J256" s="5"/>
      <c r="AM256" s="2"/>
      <c r="AN256" s="2"/>
      <c r="AO256" s="2"/>
      <c r="AP256" s="2"/>
      <c r="AQ256" s="20">
        <f t="shared" si="28"/>
        <v>0</v>
      </c>
      <c r="AR256" s="2"/>
      <c r="AS256" s="29">
        <f t="shared" si="35"/>
        <v>0</v>
      </c>
      <c r="AT256" s="2"/>
      <c r="AU256" s="2"/>
      <c r="AV256" s="2"/>
      <c r="CE256" s="2">
        <f t="shared" si="29"/>
        <v>0</v>
      </c>
      <c r="CF256" s="19">
        <f t="shared" si="30"/>
        <v>0</v>
      </c>
      <c r="CG256" s="2">
        <f t="shared" si="31"/>
        <v>0</v>
      </c>
      <c r="CH256" s="24">
        <f t="shared" si="32"/>
        <v>0</v>
      </c>
      <c r="CI256" s="2"/>
      <c r="CJ256" s="20">
        <f t="shared" si="33"/>
        <v>0</v>
      </c>
    </row>
    <row r="257" spans="1:88" x14ac:dyDescent="0.25">
      <c r="A257" s="5"/>
      <c r="B257" s="5"/>
      <c r="C257" s="5"/>
      <c r="D257" s="5"/>
      <c r="E257" s="10">
        <f t="shared" si="27"/>
        <v>0</v>
      </c>
      <c r="F257" s="5"/>
      <c r="G257" s="21">
        <f t="shared" si="34"/>
        <v>0</v>
      </c>
      <c r="H257" s="2"/>
      <c r="I257" s="5"/>
      <c r="J257" s="5"/>
      <c r="AM257" s="2"/>
      <c r="AN257" s="2"/>
      <c r="AO257" s="2"/>
      <c r="AP257" s="2"/>
      <c r="AQ257" s="20">
        <f t="shared" si="28"/>
        <v>0</v>
      </c>
      <c r="AR257" s="2"/>
      <c r="AS257" s="29">
        <f t="shared" si="35"/>
        <v>0</v>
      </c>
      <c r="AT257" s="2"/>
      <c r="AU257" s="2"/>
      <c r="AV257" s="2"/>
      <c r="CE257" s="2">
        <f t="shared" si="29"/>
        <v>0</v>
      </c>
      <c r="CF257" s="19">
        <f t="shared" si="30"/>
        <v>0</v>
      </c>
      <c r="CG257" s="2">
        <f t="shared" si="31"/>
        <v>0</v>
      </c>
      <c r="CH257" s="24">
        <f t="shared" si="32"/>
        <v>0</v>
      </c>
      <c r="CI257" s="2"/>
      <c r="CJ257" s="20">
        <f t="shared" si="33"/>
        <v>0</v>
      </c>
    </row>
    <row r="258" spans="1:88" x14ac:dyDescent="0.25">
      <c r="A258" s="5"/>
      <c r="B258" s="5"/>
      <c r="C258" s="5"/>
      <c r="D258" s="5"/>
      <c r="E258" s="10">
        <f t="shared" si="27"/>
        <v>0</v>
      </c>
      <c r="F258" s="5"/>
      <c r="G258" s="21">
        <f t="shared" si="34"/>
        <v>0</v>
      </c>
      <c r="H258" s="2"/>
      <c r="I258" s="5"/>
      <c r="J258" s="5"/>
      <c r="AM258" s="2"/>
      <c r="AN258" s="2"/>
      <c r="AO258" s="2"/>
      <c r="AP258" s="2"/>
      <c r="AQ258" s="20">
        <f t="shared" si="28"/>
        <v>0</v>
      </c>
      <c r="AR258" s="2"/>
      <c r="AS258" s="29">
        <f t="shared" si="35"/>
        <v>0</v>
      </c>
      <c r="AT258" s="2"/>
      <c r="AU258" s="2"/>
      <c r="AV258" s="2"/>
      <c r="CE258" s="2">
        <f t="shared" si="29"/>
        <v>0</v>
      </c>
      <c r="CF258" s="19">
        <f t="shared" si="30"/>
        <v>0</v>
      </c>
      <c r="CG258" s="2">
        <f t="shared" si="31"/>
        <v>0</v>
      </c>
      <c r="CH258" s="24">
        <f t="shared" si="32"/>
        <v>0</v>
      </c>
      <c r="CI258" s="2"/>
      <c r="CJ258" s="20">
        <f t="shared" si="33"/>
        <v>0</v>
      </c>
    </row>
    <row r="259" spans="1:88" x14ac:dyDescent="0.25">
      <c r="A259" s="5"/>
      <c r="B259" s="5"/>
      <c r="C259" s="5"/>
      <c r="D259" s="5"/>
      <c r="E259" s="10">
        <f t="shared" si="27"/>
        <v>0</v>
      </c>
      <c r="F259" s="5"/>
      <c r="G259" s="21">
        <f t="shared" si="34"/>
        <v>0</v>
      </c>
      <c r="H259" s="2"/>
      <c r="I259" s="5"/>
      <c r="J259" s="5"/>
      <c r="AM259" s="2"/>
      <c r="AN259" s="2"/>
      <c r="AO259" s="2"/>
      <c r="AP259" s="2"/>
      <c r="AQ259" s="20">
        <f t="shared" si="28"/>
        <v>0</v>
      </c>
      <c r="AR259" s="2"/>
      <c r="AS259" s="29">
        <f t="shared" si="35"/>
        <v>0</v>
      </c>
      <c r="AT259" s="2"/>
      <c r="AU259" s="2"/>
      <c r="AV259" s="2"/>
      <c r="CE259" s="2">
        <f t="shared" si="29"/>
        <v>0</v>
      </c>
      <c r="CF259" s="19">
        <f t="shared" si="30"/>
        <v>0</v>
      </c>
      <c r="CG259" s="2">
        <f t="shared" si="31"/>
        <v>0</v>
      </c>
      <c r="CH259" s="24">
        <f t="shared" si="32"/>
        <v>0</v>
      </c>
      <c r="CI259" s="2"/>
      <c r="CJ259" s="20">
        <f t="shared" si="33"/>
        <v>0</v>
      </c>
    </row>
    <row r="260" spans="1:88" x14ac:dyDescent="0.25">
      <c r="A260" s="5"/>
      <c r="B260" s="5"/>
      <c r="C260" s="5"/>
      <c r="D260" s="5"/>
      <c r="E260" s="10">
        <f t="shared" ref="E260:E303" si="36">-(C260/$C$6)</f>
        <v>0</v>
      </c>
      <c r="F260" s="5"/>
      <c r="G260" s="21">
        <f t="shared" si="34"/>
        <v>0</v>
      </c>
      <c r="H260" s="2"/>
      <c r="I260" s="5"/>
      <c r="J260" s="5"/>
      <c r="AM260" s="2"/>
      <c r="AN260" s="2"/>
      <c r="AO260" s="2"/>
      <c r="AP260" s="2"/>
      <c r="AQ260" s="20">
        <f t="shared" ref="AQ260:AQ303" si="37">-(AO260/$C$6)</f>
        <v>0</v>
      </c>
      <c r="AR260" s="2"/>
      <c r="AS260" s="29">
        <f t="shared" si="35"/>
        <v>0</v>
      </c>
      <c r="AT260" s="2"/>
      <c r="AU260" s="2"/>
      <c r="AV260" s="2"/>
      <c r="CE260" s="2">
        <f t="shared" ref="CE260:CE302" si="38">A261</f>
        <v>0</v>
      </c>
      <c r="CF260" s="19">
        <f t="shared" ref="CF260:CF302" si="39">AM261</f>
        <v>0</v>
      </c>
      <c r="CG260" s="2">
        <f t="shared" ref="CG260:CG302" si="40">G261</f>
        <v>0</v>
      </c>
      <c r="CH260" s="24">
        <f t="shared" ref="CH260:CH302" si="41">AS261</f>
        <v>0</v>
      </c>
      <c r="CI260" s="2"/>
      <c r="CJ260" s="20">
        <f t="shared" ref="CJ260:CJ302" si="42">-(CI260/$CI$5)</f>
        <v>0</v>
      </c>
    </row>
    <row r="261" spans="1:88" x14ac:dyDescent="0.25">
      <c r="A261" s="5"/>
      <c r="B261" s="5"/>
      <c r="C261" s="5"/>
      <c r="D261" s="5"/>
      <c r="E261" s="10">
        <f t="shared" si="36"/>
        <v>0</v>
      </c>
      <c r="F261" s="5"/>
      <c r="G261" s="21">
        <f t="shared" ref="G261:G303" si="43">1/2*$CB$4*($CC$4)^2*$CD$4*A261</f>
        <v>0</v>
      </c>
      <c r="H261" s="2"/>
      <c r="I261" s="5"/>
      <c r="J261" s="5"/>
      <c r="AM261" s="2"/>
      <c r="AN261" s="2"/>
      <c r="AO261" s="2"/>
      <c r="AP261" s="2"/>
      <c r="AQ261" s="20">
        <f t="shared" si="37"/>
        <v>0</v>
      </c>
      <c r="AR261" s="2"/>
      <c r="AS261" s="29">
        <f t="shared" ref="AS261:AS303" si="44">1/2*$CB$4*($CC$4)^2*$CD$4*AM261</f>
        <v>0</v>
      </c>
      <c r="AT261" s="2"/>
      <c r="AU261" s="2"/>
      <c r="AV261" s="2"/>
      <c r="CE261" s="2">
        <f t="shared" si="38"/>
        <v>0</v>
      </c>
      <c r="CF261" s="19">
        <f t="shared" si="39"/>
        <v>0</v>
      </c>
      <c r="CG261" s="2">
        <f t="shared" si="40"/>
        <v>0</v>
      </c>
      <c r="CH261" s="24">
        <f t="shared" si="41"/>
        <v>0</v>
      </c>
      <c r="CI261" s="2"/>
      <c r="CJ261" s="20">
        <f t="shared" si="42"/>
        <v>0</v>
      </c>
    </row>
    <row r="262" spans="1:88" x14ac:dyDescent="0.25">
      <c r="A262" s="5"/>
      <c r="B262" s="5"/>
      <c r="C262" s="5"/>
      <c r="D262" s="5"/>
      <c r="E262" s="10">
        <f t="shared" si="36"/>
        <v>0</v>
      </c>
      <c r="F262" s="5"/>
      <c r="G262" s="21">
        <f t="shared" si="43"/>
        <v>0</v>
      </c>
      <c r="H262" s="2"/>
      <c r="I262" s="5"/>
      <c r="J262" s="5"/>
      <c r="AM262" s="2"/>
      <c r="AN262" s="2"/>
      <c r="AO262" s="2"/>
      <c r="AP262" s="2"/>
      <c r="AQ262" s="20">
        <f t="shared" si="37"/>
        <v>0</v>
      </c>
      <c r="AR262" s="2"/>
      <c r="AS262" s="29">
        <f t="shared" si="44"/>
        <v>0</v>
      </c>
      <c r="AT262" s="2"/>
      <c r="AU262" s="2"/>
      <c r="AV262" s="2"/>
      <c r="CE262" s="2">
        <f t="shared" si="38"/>
        <v>0</v>
      </c>
      <c r="CF262" s="19">
        <f t="shared" si="39"/>
        <v>0</v>
      </c>
      <c r="CG262" s="2">
        <f t="shared" si="40"/>
        <v>0</v>
      </c>
      <c r="CH262" s="24">
        <f t="shared" si="41"/>
        <v>0</v>
      </c>
      <c r="CI262" s="2"/>
      <c r="CJ262" s="20">
        <f t="shared" si="42"/>
        <v>0</v>
      </c>
    </row>
    <row r="263" spans="1:88" x14ac:dyDescent="0.25">
      <c r="A263" s="5"/>
      <c r="B263" s="5"/>
      <c r="C263" s="5"/>
      <c r="D263" s="5"/>
      <c r="E263" s="10">
        <f t="shared" si="36"/>
        <v>0</v>
      </c>
      <c r="F263" s="5"/>
      <c r="G263" s="21">
        <f t="shared" si="43"/>
        <v>0</v>
      </c>
      <c r="H263" s="2"/>
      <c r="I263" s="5"/>
      <c r="J263" s="5"/>
      <c r="AM263" s="2"/>
      <c r="AN263" s="2"/>
      <c r="AO263" s="2"/>
      <c r="AP263" s="2"/>
      <c r="AQ263" s="20">
        <f t="shared" si="37"/>
        <v>0</v>
      </c>
      <c r="AR263" s="2"/>
      <c r="AS263" s="29">
        <f t="shared" si="44"/>
        <v>0</v>
      </c>
      <c r="AT263" s="2"/>
      <c r="AU263" s="2"/>
      <c r="AV263" s="2"/>
      <c r="CE263" s="2">
        <f t="shared" si="38"/>
        <v>0</v>
      </c>
      <c r="CF263" s="19">
        <f t="shared" si="39"/>
        <v>0</v>
      </c>
      <c r="CG263" s="2">
        <f t="shared" si="40"/>
        <v>0</v>
      </c>
      <c r="CH263" s="24">
        <f t="shared" si="41"/>
        <v>0</v>
      </c>
      <c r="CI263" s="2"/>
      <c r="CJ263" s="20">
        <f t="shared" si="42"/>
        <v>0</v>
      </c>
    </row>
    <row r="264" spans="1:88" x14ac:dyDescent="0.25">
      <c r="A264" s="5"/>
      <c r="B264" s="5"/>
      <c r="C264" s="5"/>
      <c r="D264" s="5"/>
      <c r="E264" s="10">
        <f t="shared" si="36"/>
        <v>0</v>
      </c>
      <c r="F264" s="5"/>
      <c r="G264" s="21">
        <f t="shared" si="43"/>
        <v>0</v>
      </c>
      <c r="H264" s="2"/>
      <c r="I264" s="5"/>
      <c r="J264" s="5"/>
      <c r="AM264" s="2"/>
      <c r="AN264" s="2"/>
      <c r="AO264" s="2"/>
      <c r="AP264" s="2"/>
      <c r="AQ264" s="20">
        <f t="shared" si="37"/>
        <v>0</v>
      </c>
      <c r="AR264" s="2"/>
      <c r="AS264" s="29">
        <f t="shared" si="44"/>
        <v>0</v>
      </c>
      <c r="AT264" s="2"/>
      <c r="AU264" s="2"/>
      <c r="AV264" s="2"/>
      <c r="CE264" s="2">
        <f t="shared" si="38"/>
        <v>0</v>
      </c>
      <c r="CF264" s="19">
        <f t="shared" si="39"/>
        <v>0</v>
      </c>
      <c r="CG264" s="2">
        <f t="shared" si="40"/>
        <v>0</v>
      </c>
      <c r="CH264" s="24">
        <f t="shared" si="41"/>
        <v>0</v>
      </c>
      <c r="CI264" s="2"/>
      <c r="CJ264" s="20">
        <f t="shared" si="42"/>
        <v>0</v>
      </c>
    </row>
    <row r="265" spans="1:88" x14ac:dyDescent="0.25">
      <c r="A265" s="5"/>
      <c r="B265" s="5"/>
      <c r="C265" s="5"/>
      <c r="D265" s="5"/>
      <c r="E265" s="10">
        <f t="shared" si="36"/>
        <v>0</v>
      </c>
      <c r="F265" s="5"/>
      <c r="G265" s="21">
        <f t="shared" si="43"/>
        <v>0</v>
      </c>
      <c r="H265" s="2"/>
      <c r="I265" s="5"/>
      <c r="J265" s="5"/>
      <c r="AM265" s="2"/>
      <c r="AN265" s="2"/>
      <c r="AO265" s="2"/>
      <c r="AP265" s="2"/>
      <c r="AQ265" s="20">
        <f t="shared" si="37"/>
        <v>0</v>
      </c>
      <c r="AR265" s="2"/>
      <c r="AS265" s="29">
        <f t="shared" si="44"/>
        <v>0</v>
      </c>
      <c r="AT265" s="23"/>
      <c r="AU265" s="2"/>
      <c r="AV265" s="2"/>
      <c r="CE265" s="2">
        <f t="shared" si="38"/>
        <v>0</v>
      </c>
      <c r="CF265" s="19">
        <f t="shared" si="39"/>
        <v>0</v>
      </c>
      <c r="CG265" s="2">
        <f t="shared" si="40"/>
        <v>0</v>
      </c>
      <c r="CH265" s="24">
        <f t="shared" si="41"/>
        <v>0</v>
      </c>
      <c r="CI265" s="2"/>
      <c r="CJ265" s="20">
        <f t="shared" si="42"/>
        <v>0</v>
      </c>
    </row>
    <row r="266" spans="1:88" x14ac:dyDescent="0.25">
      <c r="A266" s="5"/>
      <c r="B266" s="5"/>
      <c r="C266" s="5"/>
      <c r="D266" s="5"/>
      <c r="E266" s="10">
        <f t="shared" si="36"/>
        <v>0</v>
      </c>
      <c r="F266" s="5"/>
      <c r="G266" s="21">
        <f t="shared" si="43"/>
        <v>0</v>
      </c>
      <c r="H266" s="2"/>
      <c r="I266" s="5"/>
      <c r="J266" s="5"/>
      <c r="AM266" s="2"/>
      <c r="AN266" s="2"/>
      <c r="AO266" s="2"/>
      <c r="AP266" s="2"/>
      <c r="AQ266" s="20">
        <f t="shared" si="37"/>
        <v>0</v>
      </c>
      <c r="AR266" s="2"/>
      <c r="AS266" s="29">
        <f t="shared" si="44"/>
        <v>0</v>
      </c>
      <c r="AT266" s="2"/>
      <c r="AU266" s="2"/>
      <c r="AV266" s="2"/>
      <c r="CE266" s="2">
        <f t="shared" si="38"/>
        <v>0</v>
      </c>
      <c r="CF266" s="19">
        <f t="shared" si="39"/>
        <v>0</v>
      </c>
      <c r="CG266" s="2">
        <f t="shared" si="40"/>
        <v>0</v>
      </c>
      <c r="CH266" s="24">
        <f t="shared" si="41"/>
        <v>0</v>
      </c>
      <c r="CI266" s="2"/>
      <c r="CJ266" s="20">
        <f t="shared" si="42"/>
        <v>0</v>
      </c>
    </row>
    <row r="267" spans="1:88" x14ac:dyDescent="0.25">
      <c r="A267" s="5"/>
      <c r="B267" s="5"/>
      <c r="C267" s="5"/>
      <c r="D267" s="5"/>
      <c r="E267" s="10">
        <f t="shared" si="36"/>
        <v>0</v>
      </c>
      <c r="F267" s="5"/>
      <c r="G267" s="21">
        <f t="shared" si="43"/>
        <v>0</v>
      </c>
      <c r="H267" s="2"/>
      <c r="I267" s="5"/>
      <c r="J267" s="5"/>
      <c r="AM267" s="2"/>
      <c r="AN267" s="2"/>
      <c r="AO267" s="2"/>
      <c r="AP267" s="2"/>
      <c r="AQ267" s="20">
        <f t="shared" si="37"/>
        <v>0</v>
      </c>
      <c r="AR267" s="2"/>
      <c r="AS267" s="29">
        <f t="shared" si="44"/>
        <v>0</v>
      </c>
      <c r="AT267" s="2"/>
      <c r="AU267" s="2"/>
      <c r="AV267" s="2"/>
      <c r="CE267" s="2">
        <f t="shared" si="38"/>
        <v>0</v>
      </c>
      <c r="CF267" s="19">
        <f t="shared" si="39"/>
        <v>0</v>
      </c>
      <c r="CG267" s="2">
        <f t="shared" si="40"/>
        <v>0</v>
      </c>
      <c r="CH267" s="24">
        <f t="shared" si="41"/>
        <v>0</v>
      </c>
      <c r="CI267" s="2"/>
      <c r="CJ267" s="20">
        <f t="shared" si="42"/>
        <v>0</v>
      </c>
    </row>
    <row r="268" spans="1:88" x14ac:dyDescent="0.25">
      <c r="A268" s="5"/>
      <c r="B268" s="5"/>
      <c r="C268" s="5"/>
      <c r="D268" s="5"/>
      <c r="E268" s="10">
        <f t="shared" si="36"/>
        <v>0</v>
      </c>
      <c r="F268" s="5"/>
      <c r="G268" s="21">
        <f t="shared" si="43"/>
        <v>0</v>
      </c>
      <c r="H268" s="2"/>
      <c r="I268" s="5"/>
      <c r="J268" s="5"/>
      <c r="AM268" s="2"/>
      <c r="AN268" s="2"/>
      <c r="AO268" s="2"/>
      <c r="AP268" s="2"/>
      <c r="AQ268" s="20">
        <f t="shared" si="37"/>
        <v>0</v>
      </c>
      <c r="AR268" s="2"/>
      <c r="AS268" s="29">
        <f t="shared" si="44"/>
        <v>0</v>
      </c>
      <c r="AT268" s="2"/>
      <c r="AU268" s="2"/>
      <c r="AV268" s="2"/>
      <c r="CE268" s="2">
        <f t="shared" si="38"/>
        <v>0</v>
      </c>
      <c r="CF268" s="19">
        <f t="shared" si="39"/>
        <v>0</v>
      </c>
      <c r="CG268" s="2">
        <f t="shared" si="40"/>
        <v>0</v>
      </c>
      <c r="CH268" s="24">
        <f t="shared" si="41"/>
        <v>0</v>
      </c>
      <c r="CI268" s="2"/>
      <c r="CJ268" s="20">
        <f t="shared" si="42"/>
        <v>0</v>
      </c>
    </row>
    <row r="269" spans="1:88" x14ac:dyDescent="0.25">
      <c r="A269" s="5"/>
      <c r="B269" s="5"/>
      <c r="C269" s="5"/>
      <c r="D269" s="5"/>
      <c r="E269" s="10">
        <f t="shared" si="36"/>
        <v>0</v>
      </c>
      <c r="F269" s="5"/>
      <c r="G269" s="21">
        <f t="shared" si="43"/>
        <v>0</v>
      </c>
      <c r="H269" s="2"/>
      <c r="I269" s="5"/>
      <c r="J269" s="5"/>
      <c r="AM269" s="2"/>
      <c r="AN269" s="2"/>
      <c r="AO269" s="2"/>
      <c r="AP269" s="2"/>
      <c r="AQ269" s="20">
        <f t="shared" si="37"/>
        <v>0</v>
      </c>
      <c r="AR269" s="2"/>
      <c r="AS269" s="29">
        <f t="shared" si="44"/>
        <v>0</v>
      </c>
      <c r="AT269" s="2"/>
      <c r="AU269" s="2"/>
      <c r="AV269" s="2"/>
      <c r="CE269" s="2">
        <f t="shared" si="38"/>
        <v>0</v>
      </c>
      <c r="CF269" s="19">
        <f t="shared" si="39"/>
        <v>0</v>
      </c>
      <c r="CG269" s="2">
        <f t="shared" si="40"/>
        <v>0</v>
      </c>
      <c r="CH269" s="24">
        <f t="shared" si="41"/>
        <v>0</v>
      </c>
      <c r="CI269" s="2"/>
      <c r="CJ269" s="20">
        <f t="shared" si="42"/>
        <v>0</v>
      </c>
    </row>
    <row r="270" spans="1:88" x14ac:dyDescent="0.25">
      <c r="A270" s="5"/>
      <c r="B270" s="5"/>
      <c r="C270" s="5"/>
      <c r="D270" s="5"/>
      <c r="E270" s="10">
        <f t="shared" si="36"/>
        <v>0</v>
      </c>
      <c r="F270" s="5"/>
      <c r="G270" s="21">
        <f t="shared" si="43"/>
        <v>0</v>
      </c>
      <c r="H270" s="2"/>
      <c r="I270" s="5"/>
      <c r="J270" s="5"/>
      <c r="AM270" s="2"/>
      <c r="AN270" s="2"/>
      <c r="AO270" s="2"/>
      <c r="AP270" s="2"/>
      <c r="AQ270" s="20">
        <f t="shared" si="37"/>
        <v>0</v>
      </c>
      <c r="AR270" s="2"/>
      <c r="AS270" s="29">
        <f t="shared" si="44"/>
        <v>0</v>
      </c>
      <c r="AT270" s="2"/>
      <c r="AU270" s="2"/>
      <c r="AV270" s="2"/>
      <c r="CE270" s="2">
        <f t="shared" si="38"/>
        <v>0</v>
      </c>
      <c r="CF270" s="19">
        <f t="shared" si="39"/>
        <v>0</v>
      </c>
      <c r="CG270" s="2">
        <f t="shared" si="40"/>
        <v>0</v>
      </c>
      <c r="CH270" s="24">
        <f t="shared" si="41"/>
        <v>0</v>
      </c>
      <c r="CI270" s="2"/>
      <c r="CJ270" s="20">
        <f t="shared" si="42"/>
        <v>0</v>
      </c>
    </row>
    <row r="271" spans="1:88" x14ac:dyDescent="0.25">
      <c r="A271" s="5"/>
      <c r="B271" s="5"/>
      <c r="C271" s="5"/>
      <c r="D271" s="5"/>
      <c r="E271" s="10">
        <f t="shared" si="36"/>
        <v>0</v>
      </c>
      <c r="F271" s="5"/>
      <c r="G271" s="21">
        <f t="shared" si="43"/>
        <v>0</v>
      </c>
      <c r="H271" s="2"/>
      <c r="I271" s="5"/>
      <c r="J271" s="5"/>
      <c r="AM271" s="2"/>
      <c r="AN271" s="2"/>
      <c r="AO271" s="2"/>
      <c r="AP271" s="2"/>
      <c r="AQ271" s="20">
        <f t="shared" si="37"/>
        <v>0</v>
      </c>
      <c r="AR271" s="2"/>
      <c r="AS271" s="29">
        <f t="shared" si="44"/>
        <v>0</v>
      </c>
      <c r="AT271" s="2"/>
      <c r="AU271" s="2"/>
      <c r="AV271" s="2"/>
      <c r="CE271" s="2">
        <f t="shared" si="38"/>
        <v>0</v>
      </c>
      <c r="CF271" s="19">
        <f t="shared" si="39"/>
        <v>0</v>
      </c>
      <c r="CG271" s="2">
        <f t="shared" si="40"/>
        <v>0</v>
      </c>
      <c r="CH271" s="24">
        <f t="shared" si="41"/>
        <v>0</v>
      </c>
      <c r="CI271" s="2"/>
      <c r="CJ271" s="20">
        <f t="shared" si="42"/>
        <v>0</v>
      </c>
    </row>
    <row r="272" spans="1:88" x14ac:dyDescent="0.25">
      <c r="A272" s="5"/>
      <c r="B272" s="5"/>
      <c r="C272" s="5"/>
      <c r="D272" s="5"/>
      <c r="E272" s="10">
        <f t="shared" si="36"/>
        <v>0</v>
      </c>
      <c r="F272" s="5"/>
      <c r="G272" s="21">
        <f t="shared" si="43"/>
        <v>0</v>
      </c>
      <c r="H272" s="2"/>
      <c r="I272" s="5"/>
      <c r="J272" s="5"/>
      <c r="AM272" s="2"/>
      <c r="AN272" s="2"/>
      <c r="AO272" s="2"/>
      <c r="AP272" s="2"/>
      <c r="AQ272" s="20">
        <f t="shared" si="37"/>
        <v>0</v>
      </c>
      <c r="AR272" s="2"/>
      <c r="AS272" s="29">
        <f t="shared" si="44"/>
        <v>0</v>
      </c>
      <c r="AT272" s="2"/>
      <c r="AU272" s="2"/>
      <c r="AV272" s="2"/>
      <c r="CE272" s="2">
        <f t="shared" si="38"/>
        <v>0</v>
      </c>
      <c r="CF272" s="19">
        <f t="shared" si="39"/>
        <v>0</v>
      </c>
      <c r="CG272" s="2">
        <f t="shared" si="40"/>
        <v>0</v>
      </c>
      <c r="CH272" s="24">
        <f t="shared" si="41"/>
        <v>0</v>
      </c>
      <c r="CI272" s="2"/>
      <c r="CJ272" s="20">
        <f t="shared" si="42"/>
        <v>0</v>
      </c>
    </row>
    <row r="273" spans="1:88" x14ac:dyDescent="0.25">
      <c r="A273" s="5"/>
      <c r="B273" s="5"/>
      <c r="C273" s="5"/>
      <c r="D273" s="5"/>
      <c r="E273" s="10">
        <f t="shared" si="36"/>
        <v>0</v>
      </c>
      <c r="F273" s="5"/>
      <c r="G273" s="21">
        <f t="shared" si="43"/>
        <v>0</v>
      </c>
      <c r="H273" s="2"/>
      <c r="I273" s="5"/>
      <c r="J273" s="5"/>
      <c r="AM273" s="2"/>
      <c r="AN273" s="2"/>
      <c r="AO273" s="2"/>
      <c r="AP273" s="2"/>
      <c r="AQ273" s="20">
        <f t="shared" si="37"/>
        <v>0</v>
      </c>
      <c r="AR273" s="2"/>
      <c r="AS273" s="29">
        <f t="shared" si="44"/>
        <v>0</v>
      </c>
      <c r="AT273" s="2"/>
      <c r="AU273" s="2"/>
      <c r="AV273" s="2"/>
      <c r="CE273" s="2">
        <f t="shared" si="38"/>
        <v>0</v>
      </c>
      <c r="CF273" s="19">
        <f t="shared" si="39"/>
        <v>0</v>
      </c>
      <c r="CG273" s="2">
        <f t="shared" si="40"/>
        <v>0</v>
      </c>
      <c r="CH273" s="24">
        <f t="shared" si="41"/>
        <v>0</v>
      </c>
      <c r="CI273" s="2"/>
      <c r="CJ273" s="20">
        <f t="shared" si="42"/>
        <v>0</v>
      </c>
    </row>
    <row r="274" spans="1:88" x14ac:dyDescent="0.25">
      <c r="A274" s="5"/>
      <c r="B274" s="5"/>
      <c r="C274" s="5"/>
      <c r="D274" s="5"/>
      <c r="E274" s="10">
        <f t="shared" si="36"/>
        <v>0</v>
      </c>
      <c r="F274" s="5"/>
      <c r="G274" s="21">
        <f t="shared" si="43"/>
        <v>0</v>
      </c>
      <c r="H274" s="2"/>
      <c r="I274" s="5"/>
      <c r="J274" s="5"/>
      <c r="AM274" s="2"/>
      <c r="AN274" s="2"/>
      <c r="AO274" s="2"/>
      <c r="AP274" s="2"/>
      <c r="AQ274" s="20">
        <f t="shared" si="37"/>
        <v>0</v>
      </c>
      <c r="AR274" s="2"/>
      <c r="AS274" s="29">
        <f t="shared" si="44"/>
        <v>0</v>
      </c>
      <c r="AT274" s="2"/>
      <c r="AU274" s="2"/>
      <c r="AV274" s="2"/>
      <c r="CE274" s="2">
        <f t="shared" si="38"/>
        <v>0</v>
      </c>
      <c r="CF274" s="19">
        <f t="shared" si="39"/>
        <v>0</v>
      </c>
      <c r="CG274" s="2">
        <f t="shared" si="40"/>
        <v>0</v>
      </c>
      <c r="CH274" s="24">
        <f t="shared" si="41"/>
        <v>0</v>
      </c>
      <c r="CI274" s="2"/>
      <c r="CJ274" s="20">
        <f t="shared" si="42"/>
        <v>0</v>
      </c>
    </row>
    <row r="275" spans="1:88" x14ac:dyDescent="0.25">
      <c r="A275" s="5"/>
      <c r="B275" s="5"/>
      <c r="C275" s="5"/>
      <c r="D275" s="5"/>
      <c r="E275" s="10">
        <f t="shared" si="36"/>
        <v>0</v>
      </c>
      <c r="F275" s="5"/>
      <c r="G275" s="21">
        <f t="shared" si="43"/>
        <v>0</v>
      </c>
      <c r="H275" s="2"/>
      <c r="I275" s="5"/>
      <c r="J275" s="5"/>
      <c r="AM275" s="2"/>
      <c r="AN275" s="2"/>
      <c r="AO275" s="2"/>
      <c r="AP275" s="2"/>
      <c r="AQ275" s="20">
        <f t="shared" si="37"/>
        <v>0</v>
      </c>
      <c r="AR275" s="2"/>
      <c r="AS275" s="29">
        <f t="shared" si="44"/>
        <v>0</v>
      </c>
      <c r="AT275" s="2"/>
      <c r="AU275" s="2"/>
      <c r="AV275" s="2"/>
      <c r="CE275" s="2">
        <f t="shared" si="38"/>
        <v>0</v>
      </c>
      <c r="CF275" s="19">
        <f t="shared" si="39"/>
        <v>0</v>
      </c>
      <c r="CG275" s="2">
        <f t="shared" si="40"/>
        <v>0</v>
      </c>
      <c r="CH275" s="24">
        <f t="shared" si="41"/>
        <v>0</v>
      </c>
      <c r="CI275" s="2"/>
      <c r="CJ275" s="20">
        <f t="shared" si="42"/>
        <v>0</v>
      </c>
    </row>
    <row r="276" spans="1:88" x14ac:dyDescent="0.25">
      <c r="A276" s="5"/>
      <c r="B276" s="5"/>
      <c r="C276" s="5"/>
      <c r="D276" s="5"/>
      <c r="E276" s="10">
        <f t="shared" si="36"/>
        <v>0</v>
      </c>
      <c r="F276" s="5"/>
      <c r="G276" s="21">
        <f t="shared" si="43"/>
        <v>0</v>
      </c>
      <c r="H276" s="2"/>
      <c r="I276" s="5"/>
      <c r="J276" s="5"/>
      <c r="AM276" s="2"/>
      <c r="AN276" s="2"/>
      <c r="AO276" s="2"/>
      <c r="AP276" s="2"/>
      <c r="AQ276" s="20">
        <f t="shared" si="37"/>
        <v>0</v>
      </c>
      <c r="AR276" s="2"/>
      <c r="AS276" s="29">
        <f t="shared" si="44"/>
        <v>0</v>
      </c>
      <c r="AT276" s="2"/>
      <c r="AU276" s="2"/>
      <c r="AV276" s="2"/>
      <c r="CE276" s="2">
        <f t="shared" si="38"/>
        <v>0</v>
      </c>
      <c r="CF276" s="19">
        <f t="shared" si="39"/>
        <v>0</v>
      </c>
      <c r="CG276" s="2">
        <f t="shared" si="40"/>
        <v>0</v>
      </c>
      <c r="CH276" s="24">
        <f t="shared" si="41"/>
        <v>0</v>
      </c>
      <c r="CI276" s="2"/>
      <c r="CJ276" s="20">
        <f t="shared" si="42"/>
        <v>0</v>
      </c>
    </row>
    <row r="277" spans="1:88" x14ac:dyDescent="0.25">
      <c r="A277" s="5"/>
      <c r="B277" s="5"/>
      <c r="C277" s="5"/>
      <c r="D277" s="5"/>
      <c r="E277" s="10">
        <f t="shared" si="36"/>
        <v>0</v>
      </c>
      <c r="F277" s="5"/>
      <c r="G277" s="21">
        <f t="shared" si="43"/>
        <v>0</v>
      </c>
      <c r="H277" s="2"/>
      <c r="I277" s="5"/>
      <c r="J277" s="5"/>
      <c r="AM277" s="2"/>
      <c r="AN277" s="2"/>
      <c r="AO277" s="2"/>
      <c r="AP277" s="2"/>
      <c r="AQ277" s="20">
        <f t="shared" si="37"/>
        <v>0</v>
      </c>
      <c r="AR277" s="2"/>
      <c r="AS277" s="29">
        <f t="shared" si="44"/>
        <v>0</v>
      </c>
      <c r="AT277" s="2"/>
      <c r="AU277" s="2"/>
      <c r="AV277" s="2"/>
      <c r="CE277" s="2">
        <f t="shared" si="38"/>
        <v>0</v>
      </c>
      <c r="CF277" s="19">
        <f t="shared" si="39"/>
        <v>0</v>
      </c>
      <c r="CG277" s="2">
        <f t="shared" si="40"/>
        <v>0</v>
      </c>
      <c r="CH277" s="24">
        <f t="shared" si="41"/>
        <v>0</v>
      </c>
      <c r="CI277" s="2"/>
      <c r="CJ277" s="20">
        <f t="shared" si="42"/>
        <v>0</v>
      </c>
    </row>
    <row r="278" spans="1:88" x14ac:dyDescent="0.25">
      <c r="A278" s="5"/>
      <c r="B278" s="5"/>
      <c r="C278" s="5"/>
      <c r="D278" s="5"/>
      <c r="E278" s="10">
        <f t="shared" si="36"/>
        <v>0</v>
      </c>
      <c r="F278" s="5"/>
      <c r="G278" s="21">
        <f t="shared" si="43"/>
        <v>0</v>
      </c>
      <c r="H278" s="2"/>
      <c r="I278" s="5"/>
      <c r="J278" s="5"/>
      <c r="AM278" s="2"/>
      <c r="AN278" s="2"/>
      <c r="AO278" s="2"/>
      <c r="AP278" s="2"/>
      <c r="AQ278" s="20">
        <f t="shared" si="37"/>
        <v>0</v>
      </c>
      <c r="AR278" s="2"/>
      <c r="AS278" s="29">
        <f t="shared" si="44"/>
        <v>0</v>
      </c>
      <c r="AT278" s="2"/>
      <c r="AU278" s="2"/>
      <c r="AV278" s="2"/>
      <c r="CE278" s="2">
        <f t="shared" si="38"/>
        <v>0</v>
      </c>
      <c r="CF278" s="19">
        <f t="shared" si="39"/>
        <v>0</v>
      </c>
      <c r="CG278" s="2">
        <f t="shared" si="40"/>
        <v>0</v>
      </c>
      <c r="CH278" s="24">
        <f t="shared" si="41"/>
        <v>0</v>
      </c>
      <c r="CI278" s="2"/>
      <c r="CJ278" s="20">
        <f t="shared" si="42"/>
        <v>0</v>
      </c>
    </row>
    <row r="279" spans="1:88" x14ac:dyDescent="0.25">
      <c r="A279" s="5"/>
      <c r="B279" s="5"/>
      <c r="C279" s="5"/>
      <c r="D279" s="5"/>
      <c r="E279" s="10">
        <f t="shared" si="36"/>
        <v>0</v>
      </c>
      <c r="F279" s="5"/>
      <c r="G279" s="21">
        <f t="shared" si="43"/>
        <v>0</v>
      </c>
      <c r="H279" s="2"/>
      <c r="I279" s="5"/>
      <c r="J279" s="5"/>
      <c r="AM279" s="2"/>
      <c r="AN279" s="2"/>
      <c r="AO279" s="2"/>
      <c r="AP279" s="2"/>
      <c r="AQ279" s="20">
        <f t="shared" si="37"/>
        <v>0</v>
      </c>
      <c r="AR279" s="2"/>
      <c r="AS279" s="29">
        <f t="shared" si="44"/>
        <v>0</v>
      </c>
      <c r="AT279" s="2"/>
      <c r="AU279" s="2"/>
      <c r="AV279" s="2"/>
      <c r="CE279" s="2">
        <f t="shared" si="38"/>
        <v>0</v>
      </c>
      <c r="CF279" s="19">
        <f t="shared" si="39"/>
        <v>0</v>
      </c>
      <c r="CG279" s="2">
        <f t="shared" si="40"/>
        <v>0</v>
      </c>
      <c r="CH279" s="24">
        <f t="shared" si="41"/>
        <v>0</v>
      </c>
      <c r="CI279" s="2"/>
      <c r="CJ279" s="20">
        <f t="shared" si="42"/>
        <v>0</v>
      </c>
    </row>
    <row r="280" spans="1:88" x14ac:dyDescent="0.25">
      <c r="A280" s="5"/>
      <c r="B280" s="5"/>
      <c r="C280" s="5"/>
      <c r="D280" s="5"/>
      <c r="E280" s="10">
        <f t="shared" si="36"/>
        <v>0</v>
      </c>
      <c r="F280" s="5"/>
      <c r="G280" s="21">
        <f t="shared" si="43"/>
        <v>0</v>
      </c>
      <c r="H280" s="2"/>
      <c r="I280" s="5"/>
      <c r="J280" s="5"/>
      <c r="AM280" s="2"/>
      <c r="AN280" s="2"/>
      <c r="AO280" s="2"/>
      <c r="AP280" s="2"/>
      <c r="AQ280" s="20">
        <f t="shared" si="37"/>
        <v>0</v>
      </c>
      <c r="AR280" s="2"/>
      <c r="AS280" s="29">
        <f t="shared" si="44"/>
        <v>0</v>
      </c>
      <c r="AT280" s="2"/>
      <c r="AU280" s="2"/>
      <c r="AV280" s="2"/>
      <c r="CE280" s="2">
        <f t="shared" si="38"/>
        <v>0</v>
      </c>
      <c r="CF280" s="19">
        <f t="shared" si="39"/>
        <v>0</v>
      </c>
      <c r="CG280" s="2">
        <f t="shared" si="40"/>
        <v>0</v>
      </c>
      <c r="CH280" s="24">
        <f t="shared" si="41"/>
        <v>0</v>
      </c>
      <c r="CI280" s="2"/>
      <c r="CJ280" s="20">
        <f t="shared" si="42"/>
        <v>0</v>
      </c>
    </row>
    <row r="281" spans="1:88" x14ac:dyDescent="0.25">
      <c r="A281" s="5"/>
      <c r="B281" s="5"/>
      <c r="C281" s="5"/>
      <c r="D281" s="5"/>
      <c r="E281" s="10">
        <f t="shared" si="36"/>
        <v>0</v>
      </c>
      <c r="F281" s="5"/>
      <c r="G281" s="21">
        <f t="shared" si="43"/>
        <v>0</v>
      </c>
      <c r="H281" s="2"/>
      <c r="I281" s="5"/>
      <c r="J281" s="5"/>
      <c r="AM281" s="2"/>
      <c r="AN281" s="2"/>
      <c r="AO281" s="2"/>
      <c r="AP281" s="2"/>
      <c r="AQ281" s="20">
        <f t="shared" si="37"/>
        <v>0</v>
      </c>
      <c r="AR281" s="2"/>
      <c r="AS281" s="29">
        <f t="shared" si="44"/>
        <v>0</v>
      </c>
      <c r="AT281" s="2"/>
      <c r="AU281" s="2"/>
      <c r="AV281" s="2"/>
      <c r="CE281" s="2">
        <f t="shared" si="38"/>
        <v>0</v>
      </c>
      <c r="CF281" s="19">
        <f t="shared" si="39"/>
        <v>0</v>
      </c>
      <c r="CG281" s="2">
        <f t="shared" si="40"/>
        <v>0</v>
      </c>
      <c r="CH281" s="24">
        <f t="shared" si="41"/>
        <v>0</v>
      </c>
      <c r="CI281" s="2"/>
      <c r="CJ281" s="20">
        <f t="shared" si="42"/>
        <v>0</v>
      </c>
    </row>
    <row r="282" spans="1:88" x14ac:dyDescent="0.25">
      <c r="A282" s="5"/>
      <c r="B282" s="5"/>
      <c r="C282" s="5"/>
      <c r="D282" s="5"/>
      <c r="E282" s="10">
        <f t="shared" si="36"/>
        <v>0</v>
      </c>
      <c r="F282" s="5"/>
      <c r="G282" s="21">
        <f t="shared" si="43"/>
        <v>0</v>
      </c>
      <c r="H282" s="2"/>
      <c r="I282" s="5"/>
      <c r="J282" s="5"/>
      <c r="AM282" s="2"/>
      <c r="AN282" s="2"/>
      <c r="AO282" s="2"/>
      <c r="AP282" s="2"/>
      <c r="AQ282" s="20">
        <f t="shared" si="37"/>
        <v>0</v>
      </c>
      <c r="AR282" s="2"/>
      <c r="AS282" s="29">
        <f t="shared" si="44"/>
        <v>0</v>
      </c>
      <c r="AT282" s="2"/>
      <c r="AU282" s="2"/>
      <c r="AV282" s="2"/>
      <c r="CE282" s="2">
        <f t="shared" si="38"/>
        <v>0</v>
      </c>
      <c r="CF282" s="19">
        <f t="shared" si="39"/>
        <v>0</v>
      </c>
      <c r="CG282" s="2">
        <f t="shared" si="40"/>
        <v>0</v>
      </c>
      <c r="CH282" s="24">
        <f t="shared" si="41"/>
        <v>0</v>
      </c>
      <c r="CI282" s="2"/>
      <c r="CJ282" s="20">
        <f t="shared" si="42"/>
        <v>0</v>
      </c>
    </row>
    <row r="283" spans="1:88" x14ac:dyDescent="0.25">
      <c r="A283" s="5"/>
      <c r="B283" s="5"/>
      <c r="C283" s="5"/>
      <c r="D283" s="5"/>
      <c r="E283" s="10">
        <f t="shared" si="36"/>
        <v>0</v>
      </c>
      <c r="F283" s="5"/>
      <c r="G283" s="21">
        <f t="shared" si="43"/>
        <v>0</v>
      </c>
      <c r="H283" s="2"/>
      <c r="I283" s="5"/>
      <c r="J283" s="5"/>
      <c r="AM283" s="2"/>
      <c r="AN283" s="2"/>
      <c r="AO283" s="2"/>
      <c r="AP283" s="2"/>
      <c r="AQ283" s="20">
        <f t="shared" si="37"/>
        <v>0</v>
      </c>
      <c r="AR283" s="2"/>
      <c r="AS283" s="29">
        <f t="shared" si="44"/>
        <v>0</v>
      </c>
      <c r="AT283" s="2"/>
      <c r="AU283" s="2"/>
      <c r="AV283" s="2"/>
      <c r="CE283" s="2">
        <f t="shared" si="38"/>
        <v>0</v>
      </c>
      <c r="CF283" s="19">
        <f t="shared" si="39"/>
        <v>0</v>
      </c>
      <c r="CG283" s="2">
        <f t="shared" si="40"/>
        <v>0</v>
      </c>
      <c r="CH283" s="24">
        <f t="shared" si="41"/>
        <v>0</v>
      </c>
      <c r="CI283" s="2"/>
      <c r="CJ283" s="20">
        <f t="shared" si="42"/>
        <v>0</v>
      </c>
    </row>
    <row r="284" spans="1:88" x14ac:dyDescent="0.25">
      <c r="A284" s="5"/>
      <c r="B284" s="5"/>
      <c r="C284" s="5"/>
      <c r="D284" s="5"/>
      <c r="E284" s="10">
        <f t="shared" si="36"/>
        <v>0</v>
      </c>
      <c r="F284" s="5"/>
      <c r="G284" s="21">
        <f t="shared" si="43"/>
        <v>0</v>
      </c>
      <c r="H284" s="2"/>
      <c r="I284" s="5"/>
      <c r="J284" s="5"/>
      <c r="AM284" s="2"/>
      <c r="AN284" s="2"/>
      <c r="AO284" s="2"/>
      <c r="AP284" s="2"/>
      <c r="AQ284" s="20">
        <f t="shared" si="37"/>
        <v>0</v>
      </c>
      <c r="AR284" s="2"/>
      <c r="AS284" s="29">
        <f t="shared" si="44"/>
        <v>0</v>
      </c>
      <c r="AT284" s="2"/>
      <c r="AU284" s="2"/>
      <c r="AV284" s="2"/>
      <c r="CE284" s="2">
        <f t="shared" si="38"/>
        <v>0</v>
      </c>
      <c r="CF284" s="19">
        <f t="shared" si="39"/>
        <v>0</v>
      </c>
      <c r="CG284" s="2">
        <f t="shared" si="40"/>
        <v>0</v>
      </c>
      <c r="CH284" s="24">
        <f t="shared" si="41"/>
        <v>0</v>
      </c>
      <c r="CI284" s="2"/>
      <c r="CJ284" s="20">
        <f t="shared" si="42"/>
        <v>0</v>
      </c>
    </row>
    <row r="285" spans="1:88" x14ac:dyDescent="0.25">
      <c r="A285" s="5"/>
      <c r="B285" s="5"/>
      <c r="C285" s="5"/>
      <c r="D285" s="5"/>
      <c r="E285" s="10">
        <f t="shared" si="36"/>
        <v>0</v>
      </c>
      <c r="F285" s="5"/>
      <c r="G285" s="21">
        <f t="shared" si="43"/>
        <v>0</v>
      </c>
      <c r="H285" s="2"/>
      <c r="I285" s="5"/>
      <c r="J285" s="5"/>
      <c r="AM285" s="2"/>
      <c r="AN285" s="2"/>
      <c r="AO285" s="2"/>
      <c r="AP285" s="2"/>
      <c r="AQ285" s="20">
        <f t="shared" si="37"/>
        <v>0</v>
      </c>
      <c r="AR285" s="2"/>
      <c r="AS285" s="29">
        <f t="shared" si="44"/>
        <v>0</v>
      </c>
      <c r="AT285" s="2"/>
      <c r="AU285" s="2"/>
      <c r="AV285" s="2"/>
      <c r="CE285" s="2">
        <f t="shared" si="38"/>
        <v>0</v>
      </c>
      <c r="CF285" s="19">
        <f t="shared" si="39"/>
        <v>0</v>
      </c>
      <c r="CG285" s="2">
        <f t="shared" si="40"/>
        <v>0</v>
      </c>
      <c r="CH285" s="24">
        <f t="shared" si="41"/>
        <v>0</v>
      </c>
      <c r="CI285" s="2"/>
      <c r="CJ285" s="20">
        <f t="shared" si="42"/>
        <v>0</v>
      </c>
    </row>
    <row r="286" spans="1:88" x14ac:dyDescent="0.25">
      <c r="A286" s="5"/>
      <c r="B286" s="5"/>
      <c r="C286" s="5"/>
      <c r="D286" s="5"/>
      <c r="E286" s="10">
        <f t="shared" si="36"/>
        <v>0</v>
      </c>
      <c r="F286" s="5"/>
      <c r="G286" s="21">
        <f t="shared" si="43"/>
        <v>0</v>
      </c>
      <c r="H286" s="2"/>
      <c r="I286" s="5"/>
      <c r="J286" s="5"/>
      <c r="AM286" s="2"/>
      <c r="AN286" s="2"/>
      <c r="AO286" s="2"/>
      <c r="AP286" s="2"/>
      <c r="AQ286" s="20">
        <f t="shared" si="37"/>
        <v>0</v>
      </c>
      <c r="AR286" s="2"/>
      <c r="AS286" s="29">
        <f t="shared" si="44"/>
        <v>0</v>
      </c>
      <c r="AT286" s="2"/>
      <c r="AU286" s="2"/>
      <c r="AV286" s="2"/>
      <c r="CE286" s="2">
        <f t="shared" si="38"/>
        <v>0</v>
      </c>
      <c r="CF286" s="19">
        <f t="shared" si="39"/>
        <v>0</v>
      </c>
      <c r="CG286" s="2">
        <f t="shared" si="40"/>
        <v>0</v>
      </c>
      <c r="CH286" s="24">
        <f t="shared" si="41"/>
        <v>0</v>
      </c>
      <c r="CI286" s="2"/>
      <c r="CJ286" s="20">
        <f t="shared" si="42"/>
        <v>0</v>
      </c>
    </row>
    <row r="287" spans="1:88" x14ac:dyDescent="0.25">
      <c r="A287" s="5"/>
      <c r="B287" s="5"/>
      <c r="C287" s="5"/>
      <c r="D287" s="5"/>
      <c r="E287" s="10">
        <f t="shared" si="36"/>
        <v>0</v>
      </c>
      <c r="F287" s="5"/>
      <c r="G287" s="21">
        <f t="shared" si="43"/>
        <v>0</v>
      </c>
      <c r="H287" s="2"/>
      <c r="I287" s="5"/>
      <c r="J287" s="5"/>
      <c r="AM287" s="2"/>
      <c r="AN287" s="2"/>
      <c r="AO287" s="2"/>
      <c r="AP287" s="2"/>
      <c r="AQ287" s="20">
        <f t="shared" si="37"/>
        <v>0</v>
      </c>
      <c r="AR287" s="2"/>
      <c r="AS287" s="29">
        <f t="shared" si="44"/>
        <v>0</v>
      </c>
      <c r="AT287" s="2"/>
      <c r="AU287" s="2"/>
      <c r="AV287" s="2"/>
      <c r="CE287" s="2">
        <f t="shared" si="38"/>
        <v>0</v>
      </c>
      <c r="CF287" s="19">
        <f t="shared" si="39"/>
        <v>0</v>
      </c>
      <c r="CG287" s="2">
        <f t="shared" si="40"/>
        <v>0</v>
      </c>
      <c r="CH287" s="24">
        <f t="shared" si="41"/>
        <v>0</v>
      </c>
      <c r="CI287" s="2"/>
      <c r="CJ287" s="20">
        <f t="shared" si="42"/>
        <v>0</v>
      </c>
    </row>
    <row r="288" spans="1:88" x14ac:dyDescent="0.25">
      <c r="A288" s="5"/>
      <c r="B288" s="5"/>
      <c r="C288" s="5"/>
      <c r="D288" s="5"/>
      <c r="E288" s="10">
        <f t="shared" si="36"/>
        <v>0</v>
      </c>
      <c r="F288" s="5"/>
      <c r="G288" s="21">
        <f t="shared" si="43"/>
        <v>0</v>
      </c>
      <c r="H288" s="2"/>
      <c r="I288" s="5"/>
      <c r="J288" s="5"/>
      <c r="AM288" s="2"/>
      <c r="AN288" s="2"/>
      <c r="AO288" s="2"/>
      <c r="AP288" s="2"/>
      <c r="AQ288" s="20">
        <f t="shared" si="37"/>
        <v>0</v>
      </c>
      <c r="AR288" s="2"/>
      <c r="AS288" s="29">
        <f t="shared" si="44"/>
        <v>0</v>
      </c>
      <c r="AT288" s="2"/>
      <c r="AU288" s="2"/>
      <c r="AV288" s="2"/>
      <c r="CE288" s="2">
        <f t="shared" si="38"/>
        <v>0</v>
      </c>
      <c r="CF288" s="19">
        <f t="shared" si="39"/>
        <v>0</v>
      </c>
      <c r="CG288" s="2">
        <f t="shared" si="40"/>
        <v>0</v>
      </c>
      <c r="CH288" s="24">
        <f t="shared" si="41"/>
        <v>0</v>
      </c>
      <c r="CI288" s="2"/>
      <c r="CJ288" s="20">
        <f t="shared" si="42"/>
        <v>0</v>
      </c>
    </row>
    <row r="289" spans="1:88" x14ac:dyDescent="0.25">
      <c r="A289" s="5"/>
      <c r="B289" s="5"/>
      <c r="C289" s="5"/>
      <c r="D289" s="5"/>
      <c r="E289" s="10">
        <f t="shared" si="36"/>
        <v>0</v>
      </c>
      <c r="F289" s="5"/>
      <c r="G289" s="21">
        <f t="shared" si="43"/>
        <v>0</v>
      </c>
      <c r="H289" s="2"/>
      <c r="I289" s="5"/>
      <c r="J289" s="5"/>
      <c r="AM289" s="2"/>
      <c r="AN289" s="2"/>
      <c r="AO289" s="2"/>
      <c r="AP289" s="2"/>
      <c r="AQ289" s="20">
        <f t="shared" si="37"/>
        <v>0</v>
      </c>
      <c r="AR289" s="2"/>
      <c r="AS289" s="29">
        <f t="shared" si="44"/>
        <v>0</v>
      </c>
      <c r="AT289" s="2"/>
      <c r="AU289" s="2"/>
      <c r="AV289" s="2"/>
      <c r="CE289" s="2">
        <f t="shared" si="38"/>
        <v>0</v>
      </c>
      <c r="CF289" s="19">
        <f t="shared" si="39"/>
        <v>0</v>
      </c>
      <c r="CG289" s="2">
        <f t="shared" si="40"/>
        <v>0</v>
      </c>
      <c r="CH289" s="24">
        <f t="shared" si="41"/>
        <v>0</v>
      </c>
      <c r="CI289" s="2"/>
      <c r="CJ289" s="20">
        <f t="shared" si="42"/>
        <v>0</v>
      </c>
    </row>
    <row r="290" spans="1:88" x14ac:dyDescent="0.25">
      <c r="A290" s="5"/>
      <c r="B290" s="5"/>
      <c r="C290" s="5"/>
      <c r="D290" s="5"/>
      <c r="E290" s="10">
        <f t="shared" si="36"/>
        <v>0</v>
      </c>
      <c r="F290" s="5"/>
      <c r="G290" s="21">
        <f t="shared" si="43"/>
        <v>0</v>
      </c>
      <c r="H290" s="2"/>
      <c r="I290" s="5"/>
      <c r="J290" s="5"/>
      <c r="AM290" s="2"/>
      <c r="AN290" s="2"/>
      <c r="AO290" s="2"/>
      <c r="AP290" s="2"/>
      <c r="AQ290" s="20">
        <f t="shared" si="37"/>
        <v>0</v>
      </c>
      <c r="AR290" s="2"/>
      <c r="AS290" s="29">
        <f t="shared" si="44"/>
        <v>0</v>
      </c>
      <c r="AT290" s="2"/>
      <c r="AU290" s="2"/>
      <c r="AV290" s="2"/>
      <c r="CE290" s="2">
        <f t="shared" si="38"/>
        <v>0</v>
      </c>
      <c r="CF290" s="19">
        <f t="shared" si="39"/>
        <v>0</v>
      </c>
      <c r="CG290" s="2">
        <f t="shared" si="40"/>
        <v>0</v>
      </c>
      <c r="CH290" s="24">
        <f t="shared" si="41"/>
        <v>0</v>
      </c>
      <c r="CI290" s="2"/>
      <c r="CJ290" s="20">
        <f t="shared" si="42"/>
        <v>0</v>
      </c>
    </row>
    <row r="291" spans="1:88" x14ac:dyDescent="0.25">
      <c r="A291" s="5"/>
      <c r="B291" s="5"/>
      <c r="C291" s="5"/>
      <c r="D291" s="5"/>
      <c r="E291" s="10">
        <f t="shared" si="36"/>
        <v>0</v>
      </c>
      <c r="F291" s="5"/>
      <c r="G291" s="21">
        <f t="shared" si="43"/>
        <v>0</v>
      </c>
      <c r="H291" s="2"/>
      <c r="I291" s="5"/>
      <c r="J291" s="5"/>
      <c r="AM291" s="2"/>
      <c r="AN291" s="2"/>
      <c r="AO291" s="2"/>
      <c r="AP291" s="2"/>
      <c r="AQ291" s="20">
        <f t="shared" si="37"/>
        <v>0</v>
      </c>
      <c r="AR291" s="2"/>
      <c r="AS291" s="29">
        <f t="shared" si="44"/>
        <v>0</v>
      </c>
      <c r="AT291" s="2"/>
      <c r="AU291" s="2"/>
      <c r="AV291" s="2"/>
      <c r="CE291" s="2">
        <f t="shared" si="38"/>
        <v>0</v>
      </c>
      <c r="CF291" s="19">
        <f t="shared" si="39"/>
        <v>0</v>
      </c>
      <c r="CG291" s="2">
        <f t="shared" si="40"/>
        <v>0</v>
      </c>
      <c r="CH291" s="24">
        <f t="shared" si="41"/>
        <v>0</v>
      </c>
      <c r="CI291" s="2"/>
      <c r="CJ291" s="20">
        <f t="shared" si="42"/>
        <v>0</v>
      </c>
    </row>
    <row r="292" spans="1:88" x14ac:dyDescent="0.25">
      <c r="A292" s="5"/>
      <c r="B292" s="5"/>
      <c r="C292" s="5"/>
      <c r="D292" s="5"/>
      <c r="E292" s="10">
        <f t="shared" si="36"/>
        <v>0</v>
      </c>
      <c r="F292" s="5"/>
      <c r="G292" s="21">
        <f t="shared" si="43"/>
        <v>0</v>
      </c>
      <c r="H292" s="2"/>
      <c r="I292" s="5"/>
      <c r="J292" s="5"/>
      <c r="AM292" s="2"/>
      <c r="AN292" s="2"/>
      <c r="AO292" s="2"/>
      <c r="AP292" s="2"/>
      <c r="AQ292" s="20">
        <f t="shared" si="37"/>
        <v>0</v>
      </c>
      <c r="AR292" s="2"/>
      <c r="AS292" s="29">
        <f t="shared" si="44"/>
        <v>0</v>
      </c>
      <c r="AT292" s="2"/>
      <c r="AU292" s="2"/>
      <c r="AV292" s="2"/>
      <c r="CE292" s="2">
        <f t="shared" si="38"/>
        <v>0</v>
      </c>
      <c r="CF292" s="19">
        <f t="shared" si="39"/>
        <v>0</v>
      </c>
      <c r="CG292" s="2">
        <f t="shared" si="40"/>
        <v>0</v>
      </c>
      <c r="CH292" s="24">
        <f t="shared" si="41"/>
        <v>0</v>
      </c>
      <c r="CI292" s="2"/>
      <c r="CJ292" s="20">
        <f t="shared" si="42"/>
        <v>0</v>
      </c>
    </row>
    <row r="293" spans="1:88" x14ac:dyDescent="0.25">
      <c r="A293" s="5"/>
      <c r="B293" s="5"/>
      <c r="C293" s="5"/>
      <c r="D293" s="5"/>
      <c r="E293" s="10">
        <f t="shared" si="36"/>
        <v>0</v>
      </c>
      <c r="F293" s="5"/>
      <c r="G293" s="21">
        <f t="shared" si="43"/>
        <v>0</v>
      </c>
      <c r="H293" s="2"/>
      <c r="I293" s="5"/>
      <c r="J293" s="5"/>
      <c r="AM293" s="2"/>
      <c r="AN293" s="2"/>
      <c r="AO293" s="2"/>
      <c r="AP293" s="2"/>
      <c r="AQ293" s="20">
        <f t="shared" si="37"/>
        <v>0</v>
      </c>
      <c r="AR293" s="2"/>
      <c r="AS293" s="29">
        <f t="shared" si="44"/>
        <v>0</v>
      </c>
      <c r="AT293" s="2"/>
      <c r="AU293" s="2"/>
      <c r="AV293" s="2"/>
      <c r="CE293" s="2">
        <f t="shared" si="38"/>
        <v>0</v>
      </c>
      <c r="CF293" s="19">
        <f t="shared" si="39"/>
        <v>0</v>
      </c>
      <c r="CG293" s="2">
        <f t="shared" si="40"/>
        <v>0</v>
      </c>
      <c r="CH293" s="24">
        <f t="shared" si="41"/>
        <v>0</v>
      </c>
      <c r="CI293" s="2"/>
      <c r="CJ293" s="20">
        <f t="shared" si="42"/>
        <v>0</v>
      </c>
    </row>
    <row r="294" spans="1:88" x14ac:dyDescent="0.25">
      <c r="A294" s="5"/>
      <c r="B294" s="5"/>
      <c r="C294" s="5"/>
      <c r="D294" s="5"/>
      <c r="E294" s="10">
        <f t="shared" si="36"/>
        <v>0</v>
      </c>
      <c r="F294" s="5"/>
      <c r="G294" s="21">
        <f t="shared" si="43"/>
        <v>0</v>
      </c>
      <c r="H294" s="2"/>
      <c r="I294" s="5"/>
      <c r="J294" s="5"/>
      <c r="AM294" s="2"/>
      <c r="AN294" s="2"/>
      <c r="AO294" s="2"/>
      <c r="AP294" s="2"/>
      <c r="AQ294" s="20">
        <f t="shared" si="37"/>
        <v>0</v>
      </c>
      <c r="AR294" s="2"/>
      <c r="AS294" s="29">
        <f t="shared" si="44"/>
        <v>0</v>
      </c>
      <c r="AT294" s="2"/>
      <c r="AU294" s="2"/>
      <c r="AV294" s="2"/>
      <c r="CE294" s="2">
        <f t="shared" si="38"/>
        <v>0</v>
      </c>
      <c r="CF294" s="19">
        <f t="shared" si="39"/>
        <v>0</v>
      </c>
      <c r="CG294" s="2">
        <f t="shared" si="40"/>
        <v>0</v>
      </c>
      <c r="CH294" s="24">
        <f t="shared" si="41"/>
        <v>0</v>
      </c>
      <c r="CI294" s="2"/>
      <c r="CJ294" s="20">
        <f t="shared" si="42"/>
        <v>0</v>
      </c>
    </row>
    <row r="295" spans="1:88" x14ac:dyDescent="0.25">
      <c r="A295" s="5"/>
      <c r="B295" s="5"/>
      <c r="C295" s="5"/>
      <c r="D295" s="5"/>
      <c r="E295" s="10">
        <f t="shared" si="36"/>
        <v>0</v>
      </c>
      <c r="F295" s="5"/>
      <c r="G295" s="21">
        <f t="shared" si="43"/>
        <v>0</v>
      </c>
      <c r="H295" s="2"/>
      <c r="I295" s="5"/>
      <c r="J295" s="5"/>
      <c r="AM295" s="2"/>
      <c r="AN295" s="2"/>
      <c r="AO295" s="2"/>
      <c r="AP295" s="2"/>
      <c r="AQ295" s="20">
        <f t="shared" si="37"/>
        <v>0</v>
      </c>
      <c r="AR295" s="2"/>
      <c r="AS295" s="29">
        <f t="shared" si="44"/>
        <v>0</v>
      </c>
      <c r="AT295" s="2"/>
      <c r="AU295" s="2"/>
      <c r="AV295" s="2"/>
      <c r="CE295" s="2">
        <f t="shared" si="38"/>
        <v>0</v>
      </c>
      <c r="CF295" s="19">
        <f t="shared" si="39"/>
        <v>0</v>
      </c>
      <c r="CG295" s="2">
        <f t="shared" si="40"/>
        <v>0</v>
      </c>
      <c r="CH295" s="24">
        <f t="shared" si="41"/>
        <v>0</v>
      </c>
      <c r="CI295" s="2"/>
      <c r="CJ295" s="20">
        <f t="shared" si="42"/>
        <v>0</v>
      </c>
    </row>
    <row r="296" spans="1:88" x14ac:dyDescent="0.25">
      <c r="A296" s="5"/>
      <c r="B296" s="5"/>
      <c r="C296" s="5"/>
      <c r="D296" s="5"/>
      <c r="E296" s="10">
        <f t="shared" si="36"/>
        <v>0</v>
      </c>
      <c r="F296" s="5"/>
      <c r="G296" s="21">
        <f t="shared" si="43"/>
        <v>0</v>
      </c>
      <c r="H296" s="2"/>
      <c r="I296" s="5"/>
      <c r="J296" s="5"/>
      <c r="AM296" s="2"/>
      <c r="AN296" s="2"/>
      <c r="AO296" s="2"/>
      <c r="AP296" s="2"/>
      <c r="AQ296" s="20">
        <f t="shared" si="37"/>
        <v>0</v>
      </c>
      <c r="AR296" s="2"/>
      <c r="AS296" s="29">
        <f t="shared" si="44"/>
        <v>0</v>
      </c>
      <c r="AT296" s="2"/>
      <c r="AU296" s="2"/>
      <c r="AV296" s="2"/>
      <c r="CE296" s="2">
        <f t="shared" si="38"/>
        <v>0</v>
      </c>
      <c r="CF296" s="19">
        <f t="shared" si="39"/>
        <v>0</v>
      </c>
      <c r="CG296" s="2">
        <f t="shared" si="40"/>
        <v>0</v>
      </c>
      <c r="CH296" s="24">
        <f t="shared" si="41"/>
        <v>0</v>
      </c>
      <c r="CI296" s="2"/>
      <c r="CJ296" s="20">
        <f t="shared" si="42"/>
        <v>0</v>
      </c>
    </row>
    <row r="297" spans="1:88" x14ac:dyDescent="0.25">
      <c r="A297" s="5"/>
      <c r="B297" s="5"/>
      <c r="C297" s="5"/>
      <c r="D297" s="5"/>
      <c r="E297" s="10">
        <f t="shared" si="36"/>
        <v>0</v>
      </c>
      <c r="F297" s="5"/>
      <c r="G297" s="21">
        <f t="shared" si="43"/>
        <v>0</v>
      </c>
      <c r="H297" s="2"/>
      <c r="I297" s="5"/>
      <c r="J297" s="5"/>
      <c r="AM297" s="2"/>
      <c r="AN297" s="2"/>
      <c r="AO297" s="2"/>
      <c r="AP297" s="2"/>
      <c r="AQ297" s="20">
        <f t="shared" si="37"/>
        <v>0</v>
      </c>
      <c r="AR297" s="2"/>
      <c r="AS297" s="29">
        <f t="shared" si="44"/>
        <v>0</v>
      </c>
      <c r="AT297" s="2"/>
      <c r="AU297" s="2"/>
      <c r="AV297" s="2"/>
      <c r="CE297" s="2">
        <f t="shared" si="38"/>
        <v>0</v>
      </c>
      <c r="CF297" s="19">
        <f t="shared" si="39"/>
        <v>0</v>
      </c>
      <c r="CG297" s="2">
        <f t="shared" si="40"/>
        <v>0</v>
      </c>
      <c r="CH297" s="24">
        <f t="shared" si="41"/>
        <v>0</v>
      </c>
      <c r="CI297" s="2"/>
      <c r="CJ297" s="20">
        <f t="shared" si="42"/>
        <v>0</v>
      </c>
    </row>
    <row r="298" spans="1:88" x14ac:dyDescent="0.25">
      <c r="A298" s="5"/>
      <c r="B298" s="5"/>
      <c r="C298" s="5"/>
      <c r="D298" s="5"/>
      <c r="E298" s="10">
        <f t="shared" si="36"/>
        <v>0</v>
      </c>
      <c r="F298" s="5"/>
      <c r="G298" s="21">
        <f t="shared" si="43"/>
        <v>0</v>
      </c>
      <c r="H298" s="26"/>
      <c r="I298" s="5"/>
      <c r="J298" s="8"/>
      <c r="AM298" s="2"/>
      <c r="AN298" s="2"/>
      <c r="AO298" s="2"/>
      <c r="AP298" s="2"/>
      <c r="AQ298" s="20">
        <f t="shared" si="37"/>
        <v>0</v>
      </c>
      <c r="AR298" s="2"/>
      <c r="AS298" s="29">
        <f t="shared" si="44"/>
        <v>0</v>
      </c>
      <c r="AT298" s="2"/>
      <c r="AU298" s="2"/>
      <c r="AV298" s="2"/>
      <c r="CE298" s="2">
        <f t="shared" si="38"/>
        <v>0</v>
      </c>
      <c r="CF298" s="19">
        <f t="shared" si="39"/>
        <v>0</v>
      </c>
      <c r="CG298" s="2">
        <f t="shared" si="40"/>
        <v>0</v>
      </c>
      <c r="CH298" s="24">
        <f t="shared" si="41"/>
        <v>0</v>
      </c>
      <c r="CI298" s="2"/>
      <c r="CJ298" s="20">
        <f t="shared" si="42"/>
        <v>0</v>
      </c>
    </row>
    <row r="299" spans="1:88" x14ac:dyDescent="0.25">
      <c r="A299" s="5"/>
      <c r="B299" s="5"/>
      <c r="C299" s="5"/>
      <c r="D299" s="5"/>
      <c r="E299" s="10">
        <f t="shared" si="36"/>
        <v>0</v>
      </c>
      <c r="F299" s="5"/>
      <c r="G299" s="21">
        <f t="shared" si="43"/>
        <v>0</v>
      </c>
      <c r="H299" s="26"/>
      <c r="I299" s="5"/>
      <c r="J299" s="8"/>
      <c r="AM299" s="2"/>
      <c r="AN299" s="2"/>
      <c r="AO299" s="2"/>
      <c r="AP299" s="2"/>
      <c r="AQ299" s="20">
        <f t="shared" si="37"/>
        <v>0</v>
      </c>
      <c r="AR299" s="2"/>
      <c r="AS299" s="29">
        <f t="shared" si="44"/>
        <v>0</v>
      </c>
      <c r="AT299" s="26"/>
      <c r="AU299" s="2"/>
      <c r="AV299" s="2"/>
      <c r="CE299" s="2">
        <f t="shared" si="38"/>
        <v>0</v>
      </c>
      <c r="CF299" s="19">
        <f t="shared" si="39"/>
        <v>0</v>
      </c>
      <c r="CG299" s="2">
        <f t="shared" si="40"/>
        <v>0</v>
      </c>
      <c r="CH299" s="24">
        <f t="shared" si="41"/>
        <v>0</v>
      </c>
      <c r="CI299" s="2"/>
      <c r="CJ299" s="20">
        <f t="shared" si="42"/>
        <v>0</v>
      </c>
    </row>
    <row r="300" spans="1:88" x14ac:dyDescent="0.25">
      <c r="A300" s="5"/>
      <c r="B300" s="5"/>
      <c r="C300" s="5"/>
      <c r="D300" s="5"/>
      <c r="E300" s="10">
        <f t="shared" si="36"/>
        <v>0</v>
      </c>
      <c r="F300" s="5"/>
      <c r="G300" s="21">
        <f t="shared" si="43"/>
        <v>0</v>
      </c>
      <c r="H300" s="26"/>
      <c r="I300" s="5"/>
      <c r="J300" s="8"/>
      <c r="AM300" s="2"/>
      <c r="AN300" s="2"/>
      <c r="AO300" s="2"/>
      <c r="AP300" s="2"/>
      <c r="AQ300" s="20">
        <f t="shared" si="37"/>
        <v>0</v>
      </c>
      <c r="AR300" s="2"/>
      <c r="AS300" s="29">
        <f t="shared" si="44"/>
        <v>0</v>
      </c>
      <c r="AT300" s="26"/>
      <c r="AU300" s="26"/>
      <c r="AV300" s="26"/>
      <c r="CE300" s="2">
        <f t="shared" si="38"/>
        <v>0</v>
      </c>
      <c r="CF300" s="19">
        <f t="shared" si="39"/>
        <v>0</v>
      </c>
      <c r="CG300" s="2">
        <f t="shared" si="40"/>
        <v>0</v>
      </c>
      <c r="CH300" s="24">
        <f t="shared" si="41"/>
        <v>0</v>
      </c>
      <c r="CI300" s="2"/>
      <c r="CJ300" s="20">
        <f t="shared" si="42"/>
        <v>0</v>
      </c>
    </row>
    <row r="301" spans="1:88" x14ac:dyDescent="0.25">
      <c r="A301" s="5"/>
      <c r="B301" s="5"/>
      <c r="C301" s="5"/>
      <c r="D301" s="5"/>
      <c r="E301" s="10">
        <f t="shared" si="36"/>
        <v>0</v>
      </c>
      <c r="F301" s="5"/>
      <c r="G301" s="21">
        <f t="shared" si="43"/>
        <v>0</v>
      </c>
      <c r="H301" s="26"/>
      <c r="I301" s="5"/>
      <c r="J301" s="8"/>
      <c r="AM301" s="2"/>
      <c r="AN301" s="2"/>
      <c r="AO301" s="2"/>
      <c r="AP301" s="2"/>
      <c r="AQ301" s="20">
        <f t="shared" si="37"/>
        <v>0</v>
      </c>
      <c r="AR301" s="2"/>
      <c r="AS301" s="29">
        <f t="shared" si="44"/>
        <v>0</v>
      </c>
      <c r="AT301" s="26"/>
      <c r="AU301" s="26"/>
      <c r="AV301" s="26"/>
      <c r="CE301" s="2">
        <f t="shared" si="38"/>
        <v>0</v>
      </c>
      <c r="CF301" s="19">
        <f t="shared" si="39"/>
        <v>0</v>
      </c>
      <c r="CG301" s="2">
        <f t="shared" si="40"/>
        <v>0</v>
      </c>
      <c r="CH301" s="24">
        <f t="shared" si="41"/>
        <v>0</v>
      </c>
      <c r="CI301" s="2"/>
      <c r="CJ301" s="20">
        <f t="shared" si="42"/>
        <v>0</v>
      </c>
    </row>
    <row r="302" spans="1:88" x14ac:dyDescent="0.25">
      <c r="A302" s="5"/>
      <c r="B302" s="5"/>
      <c r="C302" s="5"/>
      <c r="D302" s="5"/>
      <c r="E302" s="10">
        <f t="shared" si="36"/>
        <v>0</v>
      </c>
      <c r="F302" s="5"/>
      <c r="G302" s="21">
        <f t="shared" si="43"/>
        <v>0</v>
      </c>
      <c r="H302" s="26"/>
      <c r="I302" s="5"/>
      <c r="J302" s="8"/>
      <c r="AM302" s="2"/>
      <c r="AN302" s="2"/>
      <c r="AO302" s="2"/>
      <c r="AP302" s="2"/>
      <c r="AQ302" s="20">
        <f t="shared" si="37"/>
        <v>0</v>
      </c>
      <c r="AR302" s="2"/>
      <c r="AS302" s="29">
        <f t="shared" si="44"/>
        <v>0</v>
      </c>
      <c r="AT302" s="26"/>
      <c r="AU302" s="26"/>
      <c r="AV302" s="26"/>
      <c r="CE302" s="2">
        <f t="shared" si="38"/>
        <v>0</v>
      </c>
      <c r="CF302" s="19">
        <f t="shared" si="39"/>
        <v>0</v>
      </c>
      <c r="CG302" s="2">
        <f t="shared" si="40"/>
        <v>0</v>
      </c>
      <c r="CH302" s="24">
        <f t="shared" si="41"/>
        <v>0</v>
      </c>
      <c r="CI302" s="2"/>
      <c r="CJ302" s="20">
        <f t="shared" si="42"/>
        <v>0</v>
      </c>
    </row>
    <row r="303" spans="1:88" x14ac:dyDescent="0.25">
      <c r="A303" s="5"/>
      <c r="B303" s="5"/>
      <c r="C303" s="5"/>
      <c r="D303" s="5"/>
      <c r="E303" s="10">
        <f t="shared" si="36"/>
        <v>0</v>
      </c>
      <c r="F303" s="5"/>
      <c r="G303" s="21">
        <f t="shared" si="43"/>
        <v>0</v>
      </c>
      <c r="H303" s="26"/>
      <c r="I303" s="5"/>
      <c r="J303" s="8"/>
      <c r="AM303" s="2"/>
      <c r="AN303" s="2"/>
      <c r="AO303" s="2"/>
      <c r="AP303" s="2"/>
      <c r="AQ303" s="20">
        <f t="shared" si="37"/>
        <v>0</v>
      </c>
      <c r="AR303" s="2"/>
      <c r="AS303" s="29">
        <f t="shared" si="44"/>
        <v>0</v>
      </c>
      <c r="AT303" s="26"/>
      <c r="AU303" s="26"/>
      <c r="AV303" s="26"/>
    </row>
  </sheetData>
  <mergeCells count="11">
    <mergeCell ref="CB5:CD5"/>
    <mergeCell ref="A1:J2"/>
    <mergeCell ref="AM1:AV2"/>
    <mergeCell ref="CB2:CD2"/>
    <mergeCell ref="CE1:CJ1"/>
    <mergeCell ref="A3:B3"/>
    <mergeCell ref="C3:D3"/>
    <mergeCell ref="E3:F3"/>
    <mergeCell ref="AM3:AN3"/>
    <mergeCell ref="AO3:AP3"/>
    <mergeCell ref="AQ3:AR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BB98-D027-4C8E-A59F-3B38A23CDF66}">
  <dimension ref="A2:M109"/>
  <sheetViews>
    <sheetView topLeftCell="L1" zoomScale="66" zoomScaleNormal="100" workbookViewId="0">
      <selection activeCell="AD79" sqref="AD79"/>
    </sheetView>
  </sheetViews>
  <sheetFormatPr defaultRowHeight="15" x14ac:dyDescent="0.25"/>
  <cols>
    <col min="2" max="2" width="11.5703125" bestFit="1" customWidth="1"/>
    <col min="3" max="3" width="12" bestFit="1" customWidth="1"/>
    <col min="4" max="4" width="16.28515625" bestFit="1" customWidth="1"/>
    <col min="5" max="5" width="16" bestFit="1" customWidth="1"/>
    <col min="6" max="7" width="19.85546875" bestFit="1" customWidth="1"/>
    <col min="8" max="9" width="26" bestFit="1" customWidth="1"/>
    <col min="10" max="10" width="26" customWidth="1"/>
    <col min="11" max="11" width="20" bestFit="1" customWidth="1"/>
    <col min="12" max="12" width="20" customWidth="1"/>
    <col min="13" max="13" width="19.85546875" bestFit="1" customWidth="1"/>
  </cols>
  <sheetData>
    <row r="2" spans="2:13" x14ac:dyDescent="0.25">
      <c r="B2" s="56" t="s">
        <v>32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x14ac:dyDescent="0.25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2:13" x14ac:dyDescent="0.25">
      <c r="B4" s="12" t="s">
        <v>25</v>
      </c>
      <c r="C4" s="12" t="s">
        <v>26</v>
      </c>
      <c r="D4" s="12" t="s">
        <v>14</v>
      </c>
      <c r="E4" s="12" t="s">
        <v>15</v>
      </c>
      <c r="F4" s="18" t="s">
        <v>27</v>
      </c>
      <c r="G4" s="18" t="s">
        <v>28</v>
      </c>
      <c r="H4" s="18" t="s">
        <v>29</v>
      </c>
      <c r="I4" s="18" t="s">
        <v>30</v>
      </c>
      <c r="J4" s="12" t="s">
        <v>31</v>
      </c>
      <c r="K4" s="12" t="s">
        <v>33</v>
      </c>
      <c r="L4" s="12" t="s">
        <v>34</v>
      </c>
      <c r="M4" s="12" t="s">
        <v>35</v>
      </c>
    </row>
    <row r="5" spans="2:13" x14ac:dyDescent="0.25">
      <c r="B5" s="9">
        <v>0.1143529954</v>
      </c>
      <c r="C5" s="5">
        <v>0.31429487249999999</v>
      </c>
      <c r="D5" s="5">
        <v>-0.99882220749999995</v>
      </c>
      <c r="E5" s="10">
        <f>-(D5/$D$5)</f>
        <v>-1</v>
      </c>
      <c r="F5" s="3">
        <f>1/2*$A$108*($B$108)^2*$C$108*B5</f>
        <v>12.404804683146425</v>
      </c>
      <c r="G5" s="3">
        <f>1/2*$A$108*($B$108)^2*$C$108*C5</f>
        <v>34.094135380006918</v>
      </c>
      <c r="H5" s="28">
        <v>3.7067841029999999E-5</v>
      </c>
      <c r="I5" s="26">
        <v>2.160058291E-5</v>
      </c>
      <c r="J5" s="5">
        <v>1.791058853E-2</v>
      </c>
      <c r="K5" s="26">
        <v>3.8597108909999997E-2</v>
      </c>
      <c r="L5" s="8">
        <v>-4.218991354E-5</v>
      </c>
      <c r="M5" s="26">
        <v>-9.0918770470000001E-5</v>
      </c>
    </row>
    <row r="6" spans="2:13" x14ac:dyDescent="0.25">
      <c r="B6" s="9">
        <v>0.1924607773</v>
      </c>
      <c r="C6" s="5">
        <v>0.55724254070000001</v>
      </c>
      <c r="D6" s="5">
        <v>-0.99412394169999996</v>
      </c>
      <c r="E6" s="10">
        <f t="shared" ref="E6:E69" si="0">-(D6/$D$5)</f>
        <v>-0.99529619409268089</v>
      </c>
      <c r="F6" s="3">
        <f t="shared" ref="F6:G69" si="1">1/2*$A$108*($B$108)^2*$C$108*B6</f>
        <v>20.877794615015752</v>
      </c>
      <c r="G6" s="3">
        <f t="shared" si="1"/>
        <v>60.448655973936759</v>
      </c>
      <c r="H6" s="28">
        <v>1.989415051E-4</v>
      </c>
      <c r="I6" s="26">
        <v>1.2170554989999999E-4</v>
      </c>
      <c r="J6" s="5">
        <v>0.10733982089999999</v>
      </c>
      <c r="K6" s="26">
        <v>0.2422964235</v>
      </c>
      <c r="L6" s="8">
        <v>-7.979638707E-4</v>
      </c>
      <c r="M6" s="26">
        <v>-1.796914972E-3</v>
      </c>
    </row>
    <row r="7" spans="2:13" x14ac:dyDescent="0.25">
      <c r="B7" s="9">
        <v>0.26803590240000003</v>
      </c>
      <c r="C7" s="5">
        <v>0.80735360040000004</v>
      </c>
      <c r="D7" s="5">
        <v>-0.98477888520000001</v>
      </c>
      <c r="E7" s="10">
        <f t="shared" si="0"/>
        <v>-0.98594011807651971</v>
      </c>
      <c r="F7" s="3">
        <f t="shared" si="1"/>
        <v>29.076046549655125</v>
      </c>
      <c r="G7" s="3">
        <f t="shared" si="1"/>
        <v>87.580248231932615</v>
      </c>
      <c r="H7" s="28">
        <v>5.3438577400000001E-4</v>
      </c>
      <c r="I7" s="26">
        <v>2.7863652530000002E-4</v>
      </c>
      <c r="J7" s="5">
        <v>0.30906661489999998</v>
      </c>
      <c r="K7" s="26">
        <v>0.72791950520000004</v>
      </c>
      <c r="L7" s="8">
        <v>-4.3983322689999998E-3</v>
      </c>
      <c r="M7" s="26">
        <v>-1.027657035E-2</v>
      </c>
    </row>
    <row r="8" spans="2:13" x14ac:dyDescent="0.25">
      <c r="B8" s="9">
        <v>0.33602585969999998</v>
      </c>
      <c r="C8" s="5">
        <v>1.048127429</v>
      </c>
      <c r="D8" s="5">
        <v>-0.97088942440000003</v>
      </c>
      <c r="E8" s="10">
        <f t="shared" si="0"/>
        <v>-0.9720342790836477</v>
      </c>
      <c r="F8" s="3">
        <f t="shared" si="1"/>
        <v>36.451473295336726</v>
      </c>
      <c r="G8" s="3">
        <f t="shared" si="1"/>
        <v>113.69895466501634</v>
      </c>
      <c r="H8" s="28">
        <v>1.0698911140000001E-3</v>
      </c>
      <c r="I8" s="26">
        <v>4.417196541E-4</v>
      </c>
      <c r="J8" s="5">
        <v>0.65104108199999999</v>
      </c>
      <c r="K8" s="26">
        <v>1.598781663</v>
      </c>
      <c r="L8" s="8">
        <v>-1.489946556E-2</v>
      </c>
      <c r="M8" s="26">
        <v>-3.6064527229999997E-2</v>
      </c>
    </row>
    <row r="9" spans="2:13" x14ac:dyDescent="0.25">
      <c r="B9" s="9">
        <v>0.39583333710000002</v>
      </c>
      <c r="C9" s="5">
        <v>1.274054107</v>
      </c>
      <c r="D9" s="5">
        <v>-0.95260773519999997</v>
      </c>
      <c r="E9" s="10">
        <f t="shared" si="0"/>
        <v>-0.95373103245704516</v>
      </c>
      <c r="F9" s="3">
        <f t="shared" si="1"/>
        <v>42.939279523267807</v>
      </c>
      <c r="G9" s="3">
        <f t="shared" si="1"/>
        <v>138.20706924040519</v>
      </c>
      <c r="H9" s="28">
        <v>1.8180722979999999E-3</v>
      </c>
      <c r="I9" s="26">
        <v>5.4260803020000003E-4</v>
      </c>
      <c r="J9" s="5">
        <v>1.1515267840000001</v>
      </c>
      <c r="K9" s="26">
        <v>2.9404627429999999</v>
      </c>
      <c r="L9" s="8">
        <v>-3.8429329919999998E-2</v>
      </c>
      <c r="M9" s="26">
        <v>-9.6148834830000002E-2</v>
      </c>
    </row>
    <row r="10" spans="2:13" x14ac:dyDescent="0.25">
      <c r="B10" s="9">
        <v>0.44757360010000002</v>
      </c>
      <c r="C10" s="5">
        <v>1.4816157999999999</v>
      </c>
      <c r="D10" s="5">
        <v>-0.93013411560000003</v>
      </c>
      <c r="E10" s="10">
        <f t="shared" si="0"/>
        <v>-0.93123091238437461</v>
      </c>
      <c r="F10" s="3">
        <f t="shared" si="1"/>
        <v>48.551969024968678</v>
      </c>
      <c r="G10" s="3">
        <f t="shared" si="1"/>
        <v>160.72298368901087</v>
      </c>
      <c r="H10" s="28">
        <v>2.7833220600000002E-3</v>
      </c>
      <c r="I10" s="2">
        <v>5.0992885300000005E-4</v>
      </c>
      <c r="J10" s="5">
        <v>1.8209715959999999</v>
      </c>
      <c r="K10" s="2">
        <v>4.8180927369999997</v>
      </c>
      <c r="L10" s="8">
        <v>-8.3067928459999996E-2</v>
      </c>
      <c r="M10" s="2">
        <v>-0.21425771020000001</v>
      </c>
    </row>
    <row r="11" spans="2:13" x14ac:dyDescent="0.25">
      <c r="B11" s="9">
        <v>0.49164673869999997</v>
      </c>
      <c r="C11" s="5">
        <v>1.6683623949999999</v>
      </c>
      <c r="D11" s="5">
        <v>-0.90371479129999999</v>
      </c>
      <c r="E11" s="10">
        <f t="shared" si="0"/>
        <v>-0.90478043491038418</v>
      </c>
      <c r="F11" s="77">
        <f>1/2*$A$108*($B$108)^2*$C$108*B11</f>
        <v>53.332942835001823</v>
      </c>
      <c r="G11" s="3">
        <f t="shared" si="1"/>
        <v>180.98091421470002</v>
      </c>
      <c r="H11" s="28">
        <v>3.9651427460000001E-3</v>
      </c>
      <c r="I11" s="2">
        <v>2.8010989250000002E-4</v>
      </c>
      <c r="J11" s="5">
        <v>2.6631465040000002</v>
      </c>
      <c r="K11" s="2">
        <v>7.2746903190000003</v>
      </c>
      <c r="L11" s="5">
        <v>-0.15850164010000001</v>
      </c>
      <c r="M11" s="2">
        <v>-0.4203135509</v>
      </c>
    </row>
    <row r="12" spans="2:13" x14ac:dyDescent="0.25">
      <c r="B12" s="9">
        <v>0.52859882499999999</v>
      </c>
      <c r="C12" s="5">
        <v>1.832725457</v>
      </c>
      <c r="D12" s="5">
        <v>-0.87363921779999998</v>
      </c>
      <c r="E12" s="10">
        <f t="shared" si="0"/>
        <v>-0.87466939685559608</v>
      </c>
      <c r="F12" s="3">
        <f>1/2*$A$108*($B$108)^2*$C$108*B12</f>
        <v>57.341437860277487</v>
      </c>
      <c r="G12" s="3">
        <f t="shared" si="1"/>
        <v>198.81071984508131</v>
      </c>
      <c r="H12" s="28">
        <v>5.3598707630000001E-3</v>
      </c>
      <c r="I12" s="2">
        <v>-1.950155286E-4</v>
      </c>
      <c r="J12" s="5">
        <v>3.6761140769999998</v>
      </c>
      <c r="K12" s="2">
        <v>10.330539590000001</v>
      </c>
      <c r="L12" s="5">
        <v>-0.27549806650000003</v>
      </c>
      <c r="M12" s="2">
        <v>-0.7490944839</v>
      </c>
    </row>
    <row r="13" spans="2:13" x14ac:dyDescent="0.25">
      <c r="B13" s="9">
        <v>0.55905173249999995</v>
      </c>
      <c r="C13" s="5">
        <v>1.973978899</v>
      </c>
      <c r="D13" s="5">
        <v>-0.84023690959999997</v>
      </c>
      <c r="E13" s="10">
        <f t="shared" si="0"/>
        <v>-0.84122770127735669</v>
      </c>
      <c r="F13" s="3">
        <f>1/2*$A$108*($B$108)^2*$C$108*B13</f>
        <v>60.64491380552959</v>
      </c>
      <c r="G13" s="3">
        <f t="shared" si="1"/>
        <v>214.13363598473279</v>
      </c>
      <c r="H13" s="28">
        <v>6.9613985329999998E-3</v>
      </c>
      <c r="I13" s="2">
        <v>-9.4358373490000002E-4</v>
      </c>
      <c r="J13" s="5">
        <v>4.8531092070000001</v>
      </c>
      <c r="K13" s="2">
        <v>13.98360375</v>
      </c>
      <c r="L13" s="5">
        <v>-0.44525255790000001</v>
      </c>
      <c r="M13" s="2">
        <v>-1.238219999</v>
      </c>
    </row>
    <row r="14" spans="2:13" x14ac:dyDescent="0.25">
      <c r="B14" s="9">
        <v>0.58366706970000004</v>
      </c>
      <c r="C14" s="5">
        <v>2.0922486810000001</v>
      </c>
      <c r="D14" s="5">
        <v>-0.80387382919999995</v>
      </c>
      <c r="E14" s="10">
        <f t="shared" si="0"/>
        <v>-0.80482174221181402</v>
      </c>
      <c r="F14" s="3">
        <f t="shared" si="1"/>
        <v>63.315140755927338</v>
      </c>
      <c r="G14" s="3">
        <f t="shared" si="1"/>
        <v>226.96332654505815</v>
      </c>
      <c r="H14" s="28">
        <v>8.7613175339999998E-3</v>
      </c>
      <c r="I14" s="2">
        <v>-1.9720031580000002E-3</v>
      </c>
      <c r="J14" s="5">
        <v>6.183326514</v>
      </c>
      <c r="K14" s="2">
        <v>18.210974920000002</v>
      </c>
      <c r="L14" s="5">
        <v>-0.67865865540000003</v>
      </c>
      <c r="M14" s="2">
        <v>-1.925641661</v>
      </c>
    </row>
    <row r="15" spans="2:13" x14ac:dyDescent="0.25">
      <c r="B15" s="9">
        <v>0.60312841979999998</v>
      </c>
      <c r="C15" s="5">
        <v>2.1885027520000002</v>
      </c>
      <c r="D15" s="5">
        <v>-0.76494837829999995</v>
      </c>
      <c r="E15" s="10">
        <f t="shared" si="0"/>
        <v>-0.76585039114681475</v>
      </c>
      <c r="F15" s="3">
        <f t="shared" si="1"/>
        <v>65.426272572075916</v>
      </c>
      <c r="G15" s="3">
        <f t="shared" si="1"/>
        <v>237.40479287076411</v>
      </c>
      <c r="H15" s="28">
        <v>1.0748741270000001E-2</v>
      </c>
      <c r="I15" s="2">
        <v>-3.2660549270000002E-3</v>
      </c>
      <c r="J15" s="5">
        <v>7.6526078819999999</v>
      </c>
      <c r="K15" s="2">
        <v>22.97126467</v>
      </c>
      <c r="L15" s="5">
        <v>-0.98555305250000003</v>
      </c>
      <c r="M15" s="2">
        <v>-2.846863881</v>
      </c>
    </row>
    <row r="16" spans="2:13" x14ac:dyDescent="0.25">
      <c r="B16" s="9">
        <v>0.61812684920000005</v>
      </c>
      <c r="C16" s="5">
        <v>2.2644369649999998</v>
      </c>
      <c r="D16" s="5">
        <v>-0.72388703210000005</v>
      </c>
      <c r="E16" s="10">
        <f t="shared" si="0"/>
        <v>-0.72474062617395307</v>
      </c>
      <c r="F16" s="3">
        <f>1/2*$A$108*($B$108)^2*$C$108*B16</f>
        <v>67.053274878488267</v>
      </c>
      <c r="G16" s="3">
        <f t="shared" si="1"/>
        <v>245.64199800683031</v>
      </c>
      <c r="H16" s="28">
        <v>1.2909942589999999E-2</v>
      </c>
      <c r="I16" s="2">
        <v>-4.7942829890000004E-3</v>
      </c>
      <c r="J16" s="5">
        <v>9.2440319889999998</v>
      </c>
      <c r="K16" s="2">
        <v>28.207621140000001</v>
      </c>
      <c r="L16" s="5">
        <v>-1.3739821830000001</v>
      </c>
      <c r="M16" s="2">
        <v>-4.0321325769999996</v>
      </c>
    </row>
    <row r="17" spans="2:13" x14ac:dyDescent="0.25">
      <c r="B17" s="9">
        <v>0.62933519709999997</v>
      </c>
      <c r="C17" s="5">
        <v>2.3221842669999999</v>
      </c>
      <c r="D17" s="5">
        <v>-0.68113966729999997</v>
      </c>
      <c r="E17" s="10">
        <f t="shared" si="0"/>
        <v>-0.68194285447943448</v>
      </c>
      <c r="F17" s="3">
        <f t="shared" si="1"/>
        <v>68.269136046216403</v>
      </c>
      <c r="G17" s="3">
        <f t="shared" si="1"/>
        <v>251.90632015932786</v>
      </c>
      <c r="H17" s="28">
        <v>1.5227841359999999E-2</v>
      </c>
      <c r="I17" s="2">
        <v>-6.5125641740000004E-3</v>
      </c>
      <c r="J17" s="5">
        <v>10.938398429999999</v>
      </c>
      <c r="K17" s="2">
        <v>33.850799960000003</v>
      </c>
      <c r="L17" s="5">
        <v>-1.8495321229999999</v>
      </c>
      <c r="M17" s="2">
        <v>-5.5038056019999999</v>
      </c>
    </row>
    <row r="18" spans="2:13" x14ac:dyDescent="0.25">
      <c r="B18" s="9">
        <v>0.63734938699999999</v>
      </c>
      <c r="C18" s="5">
        <v>2.363778495</v>
      </c>
      <c r="D18" s="5">
        <v>-0.6371746331</v>
      </c>
      <c r="E18" s="10">
        <f t="shared" si="0"/>
        <v>-0.63792597753189229</v>
      </c>
      <c r="F18" s="3">
        <f t="shared" si="1"/>
        <v>69.138500771253987</v>
      </c>
      <c r="G18" s="3">
        <f t="shared" si="1"/>
        <v>256.41838626202536</v>
      </c>
      <c r="H18" s="28">
        <v>1.7681197879999999E-2</v>
      </c>
      <c r="I18" s="2">
        <v>-8.3677868589999999E-3</v>
      </c>
      <c r="J18" s="5">
        <v>12.71454104</v>
      </c>
      <c r="K18" s="2">
        <v>39.821528809999997</v>
      </c>
      <c r="L18" s="5">
        <v>-2.4147543480000002</v>
      </c>
      <c r="M18" s="2">
        <v>-7.2740632170000001</v>
      </c>
    </row>
    <row r="19" spans="2:13" x14ac:dyDescent="0.25">
      <c r="B19" s="9">
        <v>0.64245588440000001</v>
      </c>
      <c r="C19" s="5">
        <v>2.3897322349999999</v>
      </c>
      <c r="D19" s="5">
        <v>-0.5924736196</v>
      </c>
      <c r="E19" s="10">
        <f t="shared" si="0"/>
        <v>-0.59317225343129953</v>
      </c>
      <c r="F19" s="3">
        <f t="shared" si="1"/>
        <v>69.692444309334618</v>
      </c>
      <c r="G19" s="3">
        <f t="shared" si="1"/>
        <v>259.23380071068931</v>
      </c>
      <c r="H19" s="28">
        <v>2.0242133209999999E-2</v>
      </c>
      <c r="I19" s="2">
        <v>-1.0294474350000001E-2</v>
      </c>
      <c r="J19" s="5">
        <v>14.548965470000001</v>
      </c>
      <c r="K19" s="2">
        <v>46.03039613</v>
      </c>
      <c r="L19" s="5">
        <v>-3.0686901789999999</v>
      </c>
      <c r="M19" s="2">
        <v>-9.3430024419999995</v>
      </c>
    </row>
    <row r="20" spans="2:13" x14ac:dyDescent="0.25">
      <c r="B20" s="9">
        <v>0.64188380980000004</v>
      </c>
      <c r="C20" s="5">
        <v>2.3966007710000001</v>
      </c>
      <c r="D20" s="5">
        <v>-0.56912144009999999</v>
      </c>
      <c r="E20" s="10">
        <f t="shared" si="0"/>
        <v>-0.5697925374771966</v>
      </c>
      <c r="F20" s="3">
        <f t="shared" si="1"/>
        <v>69.630386698579741</v>
      </c>
      <c r="G20" s="3">
        <f t="shared" si="1"/>
        <v>259.97888698710148</v>
      </c>
      <c r="H20" s="28">
        <v>2.0242133209999999E-2</v>
      </c>
      <c r="I20" s="2">
        <v>-1.0294474350000001E-2</v>
      </c>
      <c r="J20" s="5">
        <v>14.62111672</v>
      </c>
      <c r="K20" s="2">
        <v>46.275590190000003</v>
      </c>
      <c r="L20" s="5">
        <v>-3.0943812319999999</v>
      </c>
      <c r="M20" s="2">
        <v>-9.4243141969999993</v>
      </c>
    </row>
    <row r="21" spans="2:13" x14ac:dyDescent="0.25">
      <c r="B21" s="9">
        <v>0.64425362959999999</v>
      </c>
      <c r="C21" s="5">
        <v>2.4026499399999999</v>
      </c>
      <c r="D21" s="5">
        <v>-0.5656126172</v>
      </c>
      <c r="E21" s="10">
        <f t="shared" si="0"/>
        <v>-0.56627957703873943</v>
      </c>
      <c r="F21" s="3">
        <f t="shared" si="1"/>
        <v>69.887460434605828</v>
      </c>
      <c r="G21" s="3">
        <f t="shared" si="1"/>
        <v>260.63508982357166</v>
      </c>
      <c r="H21" s="28">
        <v>2.0242133209999999E-2</v>
      </c>
      <c r="I21" s="2">
        <v>-1.0294474350000001E-2</v>
      </c>
      <c r="J21" s="5">
        <v>14.83780449</v>
      </c>
      <c r="K21" s="2">
        <v>47.012498950000001</v>
      </c>
      <c r="L21" s="5">
        <v>-3.17243589</v>
      </c>
      <c r="M21" s="2">
        <v>-9.6716246740000003</v>
      </c>
    </row>
    <row r="22" spans="2:13" x14ac:dyDescent="0.25">
      <c r="B22" s="9">
        <v>0.64678173920000004</v>
      </c>
      <c r="C22" s="5">
        <v>2.41440039</v>
      </c>
      <c r="D22" s="5">
        <v>-0.55861660440000005</v>
      </c>
      <c r="E22" s="10">
        <f t="shared" si="0"/>
        <v>-0.55927531467105474</v>
      </c>
      <c r="F22" s="3">
        <f t="shared" si="1"/>
        <v>70.161705159861071</v>
      </c>
      <c r="G22" s="3">
        <f t="shared" si="1"/>
        <v>261.90975723984013</v>
      </c>
      <c r="H22" s="28">
        <v>2.0242133209999999E-2</v>
      </c>
      <c r="I22" s="2">
        <v>-1.0294474350000001E-2</v>
      </c>
      <c r="J22" s="5">
        <v>15.19862404</v>
      </c>
      <c r="K22" s="2">
        <v>48.24149603</v>
      </c>
      <c r="L22" s="5">
        <v>-3.3051426679999998</v>
      </c>
      <c r="M22" s="2">
        <v>-10.09284527</v>
      </c>
    </row>
    <row r="23" spans="2:13" x14ac:dyDescent="0.25">
      <c r="B23" s="9">
        <v>0.64946857059999996</v>
      </c>
      <c r="C23" s="5">
        <v>2.4291192599999998</v>
      </c>
      <c r="D23" s="5">
        <v>-0.54817653450000003</v>
      </c>
      <c r="E23" s="10">
        <f t="shared" si="0"/>
        <v>-0.54882293403553506</v>
      </c>
      <c r="F23" s="3">
        <f t="shared" si="1"/>
        <v>70.453167736918715</v>
      </c>
      <c r="G23" s="3">
        <f t="shared" si="1"/>
        <v>263.50643345166958</v>
      </c>
      <c r="H23" s="28">
        <v>2.0242133209999999E-2</v>
      </c>
      <c r="I23" s="2">
        <v>-1.0294474350000001E-2</v>
      </c>
      <c r="J23" s="5">
        <v>15.7022864</v>
      </c>
      <c r="K23" s="2">
        <v>49.961118140000004</v>
      </c>
      <c r="L23" s="5">
        <v>-3.495904098</v>
      </c>
      <c r="M23" s="2">
        <v>-10.699804930000001</v>
      </c>
    </row>
    <row r="24" spans="2:13" x14ac:dyDescent="0.25">
      <c r="B24" s="9">
        <v>0.6523525724</v>
      </c>
      <c r="C24" s="5">
        <v>2.4458622339999998</v>
      </c>
      <c r="D24" s="5">
        <v>-0.53435677390000003</v>
      </c>
      <c r="E24" s="10">
        <f t="shared" si="0"/>
        <v>-0.5349868774318377</v>
      </c>
      <c r="F24" s="3">
        <f t="shared" si="1"/>
        <v>70.766018999884778</v>
      </c>
      <c r="G24" s="3">
        <f t="shared" si="1"/>
        <v>265.32268077915319</v>
      </c>
      <c r="H24" s="28">
        <v>2.0242133209999999E-2</v>
      </c>
      <c r="I24" s="2">
        <v>-1.0294474350000001E-2</v>
      </c>
      <c r="J24" s="5">
        <v>16.346656280000001</v>
      </c>
      <c r="K24" s="2">
        <v>52.167952419999999</v>
      </c>
      <c r="L24" s="5">
        <v>-3.749128201</v>
      </c>
      <c r="M24" s="2">
        <v>-11.507932459999999</v>
      </c>
    </row>
    <row r="25" spans="2:13" x14ac:dyDescent="0.25">
      <c r="B25" s="9">
        <v>0.6554180127</v>
      </c>
      <c r="C25" s="5">
        <v>2.4641885590000001</v>
      </c>
      <c r="D25" s="5">
        <v>-0.5172425262</v>
      </c>
      <c r="E25" s="10">
        <f t="shared" si="0"/>
        <v>-0.5178524489304569</v>
      </c>
      <c r="F25" s="3">
        <f t="shared" si="1"/>
        <v>71.098552380897956</v>
      </c>
      <c r="G25" s="3">
        <f t="shared" si="1"/>
        <v>267.31068713954335</v>
      </c>
      <c r="H25" s="28">
        <v>2.0242133209999999E-2</v>
      </c>
      <c r="I25" s="2">
        <v>-1.0294474350000001E-2</v>
      </c>
      <c r="J25" s="5">
        <v>17.128754959999998</v>
      </c>
      <c r="K25" s="2">
        <v>54.856287160000001</v>
      </c>
      <c r="L25" s="5">
        <v>-4.0700802129999998</v>
      </c>
      <c r="M25" s="2">
        <v>-12.535808429999999</v>
      </c>
    </row>
    <row r="26" spans="2:13" x14ac:dyDescent="0.25">
      <c r="B26" s="9">
        <v>0.65861390730000002</v>
      </c>
      <c r="C26" s="5">
        <v>2.4836728290000001</v>
      </c>
      <c r="D26" s="5">
        <v>-0.49693930619999999</v>
      </c>
      <c r="E26" s="10">
        <f t="shared" si="0"/>
        <v>-0.49752528775247523</v>
      </c>
      <c r="F26" s="3">
        <f t="shared" si="1"/>
        <v>71.445237206793848</v>
      </c>
      <c r="G26" s="3">
        <f t="shared" si="1"/>
        <v>269.42430526470258</v>
      </c>
      <c r="H26" s="28">
        <v>2.0242133209999999E-2</v>
      </c>
      <c r="I26" s="2">
        <v>-1.0294474350000001E-2</v>
      </c>
      <c r="J26" s="5">
        <v>18.044737049999998</v>
      </c>
      <c r="K26" s="2">
        <v>58.017670799999998</v>
      </c>
      <c r="L26" s="5">
        <v>-4.4646974110000004</v>
      </c>
      <c r="M26" s="2">
        <v>-13.80458673</v>
      </c>
    </row>
    <row r="27" spans="2:13" x14ac:dyDescent="0.25">
      <c r="B27" s="9">
        <v>0.66187274880000002</v>
      </c>
      <c r="C27" s="5">
        <v>2.5038427959999998</v>
      </c>
      <c r="D27" s="5">
        <v>-0.47357229020000002</v>
      </c>
      <c r="E27" s="10">
        <f t="shared" si="0"/>
        <v>-0.47413071780344856</v>
      </c>
      <c r="F27" s="3">
        <f t="shared" si="1"/>
        <v>71.798750397763854</v>
      </c>
      <c r="G27" s="3">
        <f t="shared" si="1"/>
        <v>271.61230655164138</v>
      </c>
      <c r="H27" s="28">
        <v>2.0242133209999999E-2</v>
      </c>
      <c r="I27" s="2">
        <v>-1.0294474350000001E-2</v>
      </c>
      <c r="J27" s="5">
        <v>19.089862409999999</v>
      </c>
      <c r="K27" s="2">
        <v>61.640472799999998</v>
      </c>
      <c r="L27" s="5">
        <v>-4.9393707899999999</v>
      </c>
      <c r="M27" s="2">
        <v>-15.33728984</v>
      </c>
    </row>
    <row r="28" spans="2:13" x14ac:dyDescent="0.25">
      <c r="B28" s="9">
        <v>0.66512340479999998</v>
      </c>
      <c r="C28" s="5">
        <v>2.5242155930000001</v>
      </c>
      <c r="D28" s="5">
        <v>-0.4472855436</v>
      </c>
      <c r="E28" s="10">
        <f t="shared" si="0"/>
        <v>-0.44781297436260697</v>
      </c>
      <c r="F28" s="3">
        <f t="shared" si="1"/>
        <v>72.151375640601145</v>
      </c>
      <c r="G28" s="3">
        <f t="shared" si="1"/>
        <v>273.82231046758949</v>
      </c>
      <c r="H28" s="28">
        <v>2.0242133209999999E-2</v>
      </c>
      <c r="I28" s="2">
        <v>-1.0294474350000001E-2</v>
      </c>
      <c r="J28" s="5">
        <v>20.258479619999999</v>
      </c>
      <c r="K28" s="2">
        <v>65.709513950000002</v>
      </c>
      <c r="L28" s="5">
        <v>-5.5006985449999997</v>
      </c>
      <c r="M28" s="2">
        <v>-17.157987869999999</v>
      </c>
    </row>
    <row r="29" spans="2:13" x14ac:dyDescent="0.25">
      <c r="B29" s="9">
        <v>0.66829893659999995</v>
      </c>
      <c r="C29" s="5">
        <v>2.544332405</v>
      </c>
      <c r="D29" s="5">
        <v>-0.41824113280000003</v>
      </c>
      <c r="E29" s="10">
        <f t="shared" si="0"/>
        <v>-0.41873431493562385</v>
      </c>
      <c r="F29" s="3">
        <f t="shared" si="1"/>
        <v>72.495851547037432</v>
      </c>
      <c r="G29" s="3">
        <f t="shared" si="1"/>
        <v>276.00454559693333</v>
      </c>
      <c r="H29" s="28">
        <v>2.0242133209999999E-2</v>
      </c>
      <c r="I29" s="2">
        <v>-1.0294474350000001E-2</v>
      </c>
      <c r="J29" s="5">
        <v>21.544028310000002</v>
      </c>
      <c r="K29" s="2">
        <v>70.205805150000003</v>
      </c>
      <c r="L29" s="5">
        <v>-6.1552176540000003</v>
      </c>
      <c r="M29" s="2">
        <v>-19.290877800000001</v>
      </c>
    </row>
    <row r="30" spans="2:13" x14ac:dyDescent="0.25">
      <c r="B30" s="9">
        <v>0.67134053859999998</v>
      </c>
      <c r="C30" s="5">
        <v>2.5637792560000001</v>
      </c>
      <c r="D30" s="5">
        <v>-0.38661812639999998</v>
      </c>
      <c r="E30" s="10">
        <f t="shared" si="0"/>
        <v>-0.38707401927684915</v>
      </c>
      <c r="F30" s="3">
        <f t="shared" si="1"/>
        <v>72.825798992680546</v>
      </c>
      <c r="G30" s="3">
        <f t="shared" si="1"/>
        <v>278.11410457711946</v>
      </c>
      <c r="H30" s="28">
        <v>2.0242133209999999E-2</v>
      </c>
      <c r="I30" s="2">
        <v>-1.0294474350000001E-2</v>
      </c>
      <c r="J30" s="5">
        <v>22.939061670000001</v>
      </c>
      <c r="K30" s="2">
        <v>75.106411199999997</v>
      </c>
      <c r="L30" s="5">
        <v>-6.9091208740000001</v>
      </c>
      <c r="M30" s="2">
        <v>-21.75928588</v>
      </c>
    </row>
    <row r="31" spans="2:13" x14ac:dyDescent="0.25">
      <c r="B31" s="9">
        <v>0.67419873470000002</v>
      </c>
      <c r="C31" s="5">
        <v>2.5821959699999999</v>
      </c>
      <c r="D31" s="5">
        <v>-0.35261149069999997</v>
      </c>
      <c r="E31" s="10">
        <f t="shared" si="0"/>
        <v>-0.35302728358690399</v>
      </c>
      <c r="F31" s="3">
        <f t="shared" si="1"/>
        <v>73.135850900307545</v>
      </c>
      <c r="G31" s="3">
        <f t="shared" si="1"/>
        <v>280.11191617161455</v>
      </c>
      <c r="H31" s="28">
        <v>2.0242133209999999E-2</v>
      </c>
      <c r="I31" s="2">
        <v>-1.0294474350000001E-2</v>
      </c>
      <c r="J31" s="5">
        <v>24.435286820000002</v>
      </c>
      <c r="K31" s="2">
        <v>80.384439909999998</v>
      </c>
      <c r="L31" s="5">
        <v>-7.767967295</v>
      </c>
      <c r="M31" s="2">
        <v>-24.584621599999998</v>
      </c>
    </row>
    <row r="32" spans="2:13" x14ac:dyDescent="0.25">
      <c r="B32" s="9">
        <v>0.67683281839999998</v>
      </c>
      <c r="C32" s="5">
        <v>2.5992764249999998</v>
      </c>
      <c r="D32" s="5">
        <v>-0.3164308878</v>
      </c>
      <c r="E32" s="10">
        <f t="shared" si="0"/>
        <v>-0.31680401719542267</v>
      </c>
      <c r="F32" s="3">
        <f t="shared" si="1"/>
        <v>73.421591502932444</v>
      </c>
      <c r="G32" s="3">
        <f t="shared" si="1"/>
        <v>281.96477282336321</v>
      </c>
      <c r="H32" s="28">
        <v>2.0242133209999999E-2</v>
      </c>
      <c r="I32" s="2">
        <v>-1.0294474350000001E-2</v>
      </c>
      <c r="J32" s="5">
        <v>26.02361938</v>
      </c>
      <c r="K32" s="2">
        <v>86.009145119999999</v>
      </c>
      <c r="L32" s="5">
        <v>-8.7363949630000004</v>
      </c>
      <c r="M32" s="2">
        <v>-27.78531534</v>
      </c>
    </row>
    <row r="33" spans="2:13" x14ac:dyDescent="0.25">
      <c r="B33" s="9">
        <v>0.67920937459999997</v>
      </c>
      <c r="C33" s="5">
        <v>2.614763264</v>
      </c>
      <c r="D33" s="5">
        <v>-0.27829938339999999</v>
      </c>
      <c r="E33" s="10">
        <f t="shared" si="0"/>
        <v>-0.278627548837314</v>
      </c>
      <c r="F33" s="3">
        <f t="shared" si="1"/>
        <v>73.679395991362327</v>
      </c>
      <c r="G33" s="3">
        <f t="shared" si="1"/>
        <v>283.64475691369984</v>
      </c>
      <c r="H33" s="28">
        <v>2.0242133209999999E-2</v>
      </c>
      <c r="I33" s="2">
        <v>-1.0294474350000001E-2</v>
      </c>
      <c r="J33" s="5">
        <v>27.694248269999999</v>
      </c>
      <c r="K33" s="2">
        <v>91.946126759999999</v>
      </c>
      <c r="L33" s="5">
        <v>-9.8178441979999995</v>
      </c>
      <c r="M33" s="2">
        <v>-31.375774539999998</v>
      </c>
    </row>
    <row r="34" spans="2:13" x14ac:dyDescent="0.25">
      <c r="B34" s="9">
        <v>0.68130056989999999</v>
      </c>
      <c r="C34" s="5">
        <v>2.6284402500000001</v>
      </c>
      <c r="D34" s="5">
        <v>-0.23845207060000001</v>
      </c>
      <c r="E34" s="10">
        <f t="shared" si="0"/>
        <v>-0.2387332488299726</v>
      </c>
      <c r="F34" s="3">
        <f t="shared" si="1"/>
        <v>73.906245049054903</v>
      </c>
      <c r="G34" s="3">
        <f t="shared" si="1"/>
        <v>285.12841144667175</v>
      </c>
      <c r="H34" s="28">
        <v>2.0242133209999999E-2</v>
      </c>
      <c r="I34" s="2">
        <v>-1.0294474350000001E-2</v>
      </c>
      <c r="J34" s="5">
        <v>29.436707649999999</v>
      </c>
      <c r="K34" s="2">
        <v>98.157610489999996</v>
      </c>
      <c r="L34" s="5">
        <v>-11.01430002</v>
      </c>
      <c r="M34" s="2">
        <v>-35.365393410000003</v>
      </c>
    </row>
    <row r="35" spans="2:13" x14ac:dyDescent="0.25">
      <c r="B35" s="65">
        <v>0.68308271970000001</v>
      </c>
      <c r="C35" s="66">
        <v>2.6401251170000002</v>
      </c>
      <c r="D35" s="79">
        <v>-0.1971346216</v>
      </c>
      <c r="E35" s="67">
        <f t="shared" si="0"/>
        <v>-0.19736707906547024</v>
      </c>
      <c r="F35" s="68">
        <f t="shared" si="1"/>
        <v>74.099569413736205</v>
      </c>
      <c r="G35" s="68">
        <f t="shared" si="1"/>
        <v>286.39596453853892</v>
      </c>
      <c r="H35" s="69">
        <v>2.0242133209999999E-2</v>
      </c>
      <c r="I35" s="70">
        <v>-1.0294474350000001E-2</v>
      </c>
      <c r="J35" s="66">
        <v>31.239954220000001</v>
      </c>
      <c r="K35" s="80">
        <v>105</v>
      </c>
      <c r="L35" s="66">
        <v>-12.326061620000001</v>
      </c>
      <c r="M35" s="70">
        <v>-39.757651070000001</v>
      </c>
    </row>
    <row r="36" spans="2:13" x14ac:dyDescent="0.25">
      <c r="B36" s="9">
        <v>0.68453543829999997</v>
      </c>
      <c r="C36" s="5">
        <v>2.649664843</v>
      </c>
      <c r="D36" s="8">
        <v>-0.15460177210000001</v>
      </c>
      <c r="E36" s="10">
        <f t="shared" si="0"/>
        <v>-0.15478407562338867</v>
      </c>
      <c r="F36" s="3">
        <f t="shared" si="1"/>
        <v>74.257157681796329</v>
      </c>
      <c r="G36" s="3">
        <f t="shared" si="1"/>
        <v>287.43081664142255</v>
      </c>
      <c r="H36" s="28">
        <v>2.0242133209999999E-2</v>
      </c>
      <c r="I36" s="2">
        <v>-1.0294474350000001E-2</v>
      </c>
      <c r="J36" s="5">
        <v>33.092449790000003</v>
      </c>
      <c r="K36" s="25">
        <v>111</v>
      </c>
      <c r="L36" s="5">
        <v>-13.751546340000001</v>
      </c>
      <c r="M36" s="2">
        <v>-44.549330830000002</v>
      </c>
    </row>
    <row r="37" spans="2:13" x14ac:dyDescent="0.25">
      <c r="B37" s="9">
        <v>0.68564145519999997</v>
      </c>
      <c r="C37" s="5">
        <v>2.6569340239999999</v>
      </c>
      <c r="D37" s="8">
        <v>-0.1111157512</v>
      </c>
      <c r="E37" s="10">
        <f t="shared" si="0"/>
        <v>-0.11124677681938705</v>
      </c>
      <c r="F37" s="3">
        <f t="shared" si="1"/>
        <v>74.377136380848043</v>
      </c>
      <c r="G37" s="3">
        <f t="shared" si="1"/>
        <v>288.2193641577864</v>
      </c>
      <c r="H37" s="28">
        <v>2.0242133209999999E-2</v>
      </c>
      <c r="I37" s="2">
        <v>-1.0294474350000001E-2</v>
      </c>
      <c r="J37" s="5">
        <v>34.982249400000001</v>
      </c>
      <c r="K37" s="25">
        <v>118</v>
      </c>
      <c r="L37" s="5">
        <v>-15.287134590000001</v>
      </c>
      <c r="M37" s="2">
        <v>-49.729890300000001</v>
      </c>
    </row>
    <row r="38" spans="2:13" x14ac:dyDescent="0.25">
      <c r="B38" s="9">
        <v>0.68638696330000004</v>
      </c>
      <c r="C38" s="5">
        <v>2.6618357079999999</v>
      </c>
      <c r="D38" s="8">
        <v>-6.6944664819999999E-2</v>
      </c>
      <c r="E38" s="10">
        <f t="shared" si="0"/>
        <v>-6.7023604718960961E-2</v>
      </c>
      <c r="F38" s="3">
        <f t="shared" si="1"/>
        <v>74.458007741828638</v>
      </c>
      <c r="G38" s="3">
        <f t="shared" si="1"/>
        <v>288.75108991123795</v>
      </c>
      <c r="H38" s="28">
        <v>2.0242133209999999E-2</v>
      </c>
      <c r="I38" s="2">
        <v>-1.0294474350000001E-2</v>
      </c>
      <c r="J38" s="5">
        <v>36.897095659999998</v>
      </c>
      <c r="K38" s="25">
        <v>125</v>
      </c>
      <c r="L38" s="5">
        <v>-16.92706145</v>
      </c>
      <c r="M38" s="2">
        <v>-55.28100817</v>
      </c>
    </row>
    <row r="39" spans="2:13" x14ac:dyDescent="0.25">
      <c r="B39" s="9">
        <v>0.68676223810000003</v>
      </c>
      <c r="C39" s="5">
        <v>2.6643034659999998</v>
      </c>
      <c r="D39" s="8">
        <v>-2.2360842280000001E-2</v>
      </c>
      <c r="E39" s="10">
        <f t="shared" si="0"/>
        <v>-2.2387209767760399E-2</v>
      </c>
      <c r="F39" s="3">
        <f t="shared" si="1"/>
        <v>74.498716868688163</v>
      </c>
      <c r="G39" s="3">
        <f t="shared" si="1"/>
        <v>289.01878780483656</v>
      </c>
      <c r="H39" s="28">
        <v>2.0242133209999999E-2</v>
      </c>
      <c r="I39" s="2">
        <v>-1.0294474350000001E-2</v>
      </c>
      <c r="J39" s="5">
        <v>38.824518949999998</v>
      </c>
      <c r="K39" s="25">
        <v>132</v>
      </c>
      <c r="L39" s="5">
        <v>-18.66335934</v>
      </c>
      <c r="M39" s="2">
        <v>-61.176327890000003</v>
      </c>
    </row>
    <row r="40" spans="2:13" x14ac:dyDescent="0.25">
      <c r="B40" s="71">
        <v>0.68676223810000003</v>
      </c>
      <c r="C40" s="72">
        <v>2.6643034659999998</v>
      </c>
      <c r="D40" s="78">
        <v>2.2360842280000001E-2</v>
      </c>
      <c r="E40" s="73">
        <f t="shared" si="0"/>
        <v>2.2387209767760399E-2</v>
      </c>
      <c r="F40" s="74">
        <f t="shared" si="1"/>
        <v>74.498716868688163</v>
      </c>
      <c r="G40" s="74">
        <f t="shared" si="1"/>
        <v>289.01878780483656</v>
      </c>
      <c r="H40" s="75">
        <v>2.0242133209999999E-2</v>
      </c>
      <c r="I40" s="76">
        <v>-1.0294474350000001E-2</v>
      </c>
      <c r="J40" s="72">
        <v>-38.824518949999998</v>
      </c>
      <c r="K40" s="81">
        <v>-132</v>
      </c>
      <c r="L40" s="72">
        <v>-18.66335934</v>
      </c>
      <c r="M40" s="76">
        <v>-61.176327890000003</v>
      </c>
    </row>
    <row r="41" spans="2:13" x14ac:dyDescent="0.25">
      <c r="B41" s="9">
        <v>0.68638696330000004</v>
      </c>
      <c r="C41" s="5">
        <v>2.6618357079999999</v>
      </c>
      <c r="D41" s="8">
        <v>6.6944664819999999E-2</v>
      </c>
      <c r="E41" s="10">
        <f t="shared" si="0"/>
        <v>6.7023604718960961E-2</v>
      </c>
      <c r="F41" s="3">
        <f t="shared" si="1"/>
        <v>74.458007741828638</v>
      </c>
      <c r="G41" s="3">
        <f t="shared" si="1"/>
        <v>288.75108991123795</v>
      </c>
      <c r="H41" s="28">
        <v>2.0242133209999999E-2</v>
      </c>
      <c r="I41" s="2">
        <v>-1.0294474350000001E-2</v>
      </c>
      <c r="J41" s="5">
        <v>-36.897095659999998</v>
      </c>
      <c r="K41" s="25">
        <v>-125</v>
      </c>
      <c r="L41" s="5">
        <v>-16.92706145</v>
      </c>
      <c r="M41" s="2">
        <v>-55.28100817</v>
      </c>
    </row>
    <row r="42" spans="2:13" x14ac:dyDescent="0.25">
      <c r="B42" s="9">
        <v>0.68564145519999997</v>
      </c>
      <c r="C42" s="5">
        <v>2.6569340239999999</v>
      </c>
      <c r="D42" s="8">
        <v>0.1111157512</v>
      </c>
      <c r="E42" s="10">
        <f t="shared" si="0"/>
        <v>0.11124677681938705</v>
      </c>
      <c r="F42" s="3">
        <f t="shared" si="1"/>
        <v>74.377136380848043</v>
      </c>
      <c r="G42" s="3">
        <f t="shared" si="1"/>
        <v>288.2193641577864</v>
      </c>
      <c r="H42" s="28">
        <v>2.0242133209999999E-2</v>
      </c>
      <c r="I42" s="2">
        <v>-1.0294474350000001E-2</v>
      </c>
      <c r="J42" s="5">
        <v>-34.982249400000001</v>
      </c>
      <c r="K42" s="25">
        <v>-118</v>
      </c>
      <c r="L42" s="5">
        <v>-15.287134590000001</v>
      </c>
      <c r="M42" s="2">
        <v>-49.729890300000001</v>
      </c>
    </row>
    <row r="43" spans="2:13" x14ac:dyDescent="0.25">
      <c r="B43" s="9">
        <v>0.68453543829999997</v>
      </c>
      <c r="C43" s="5">
        <v>2.649664843</v>
      </c>
      <c r="D43" s="8">
        <v>0.15460177210000001</v>
      </c>
      <c r="E43" s="10">
        <f t="shared" si="0"/>
        <v>0.15478407562338867</v>
      </c>
      <c r="F43" s="3">
        <f t="shared" si="1"/>
        <v>74.257157681796329</v>
      </c>
      <c r="G43" s="3">
        <f t="shared" si="1"/>
        <v>287.43081664142255</v>
      </c>
      <c r="H43" s="28">
        <v>2.0242133209999999E-2</v>
      </c>
      <c r="I43" s="26">
        <v>-1.0294474350000001E-2</v>
      </c>
      <c r="J43" s="5">
        <v>-33.092449790000003</v>
      </c>
      <c r="K43" s="25">
        <v>-111</v>
      </c>
      <c r="L43" s="5">
        <v>-13.751546340000001</v>
      </c>
      <c r="M43" s="2">
        <v>-44.549330830000002</v>
      </c>
    </row>
    <row r="44" spans="2:13" x14ac:dyDescent="0.25">
      <c r="B44" s="9">
        <v>0.68308271970000001</v>
      </c>
      <c r="C44" s="5">
        <v>2.6401251170000002</v>
      </c>
      <c r="D44" s="8">
        <v>0.1971346216</v>
      </c>
      <c r="E44" s="10">
        <f t="shared" si="0"/>
        <v>0.19736707906547024</v>
      </c>
      <c r="F44" s="3">
        <f t="shared" si="1"/>
        <v>74.099569413736205</v>
      </c>
      <c r="G44" s="3">
        <f t="shared" si="1"/>
        <v>286.39596453853892</v>
      </c>
      <c r="H44" s="28">
        <v>2.0242133209999999E-2</v>
      </c>
      <c r="I44" s="2">
        <v>-1.0294474350000001E-2</v>
      </c>
      <c r="J44" s="5">
        <v>-31.239954220000001</v>
      </c>
      <c r="K44" s="25">
        <v>-105</v>
      </c>
      <c r="L44" s="5">
        <v>-12.326061620000001</v>
      </c>
      <c r="M44" s="2">
        <v>-39.757651070000001</v>
      </c>
    </row>
    <row r="45" spans="2:13" x14ac:dyDescent="0.25">
      <c r="B45" s="9">
        <v>0.68130056989999999</v>
      </c>
      <c r="C45" s="5">
        <v>2.6284402500000001</v>
      </c>
      <c r="D45" s="8">
        <v>0.23845207060000001</v>
      </c>
      <c r="E45" s="10">
        <f t="shared" si="0"/>
        <v>0.2387332488299726</v>
      </c>
      <c r="F45" s="3">
        <f t="shared" si="1"/>
        <v>73.906245049054903</v>
      </c>
      <c r="G45" s="3">
        <f t="shared" si="1"/>
        <v>285.12841144667175</v>
      </c>
      <c r="H45" s="28">
        <v>2.0242133209999999E-2</v>
      </c>
      <c r="I45" s="2">
        <v>-1.0294474350000001E-2</v>
      </c>
      <c r="J45" s="5">
        <v>-29.436707649999999</v>
      </c>
      <c r="K45" s="2">
        <v>-98.157610489999996</v>
      </c>
      <c r="L45" s="5">
        <v>-11.01430002</v>
      </c>
      <c r="M45" s="2">
        <v>-35.365393410000003</v>
      </c>
    </row>
    <row r="46" spans="2:13" x14ac:dyDescent="0.25">
      <c r="B46" s="9">
        <v>0.67920937459999997</v>
      </c>
      <c r="C46" s="5">
        <v>2.614763264</v>
      </c>
      <c r="D46" s="8">
        <v>0.27829938339999999</v>
      </c>
      <c r="E46" s="10">
        <f t="shared" si="0"/>
        <v>0.278627548837314</v>
      </c>
      <c r="F46" s="3">
        <f t="shared" si="1"/>
        <v>73.679395991362327</v>
      </c>
      <c r="G46" s="3">
        <f t="shared" si="1"/>
        <v>283.64475691369984</v>
      </c>
      <c r="H46" s="28">
        <v>2.0242133209999999E-2</v>
      </c>
      <c r="I46" s="2">
        <v>-1.0294474350000001E-2</v>
      </c>
      <c r="J46" s="5">
        <v>-27.694248269999999</v>
      </c>
      <c r="K46" s="2">
        <v>-91.946126759999999</v>
      </c>
      <c r="L46" s="5">
        <v>-9.8178441979999995</v>
      </c>
      <c r="M46" s="2">
        <v>-31.375774539999998</v>
      </c>
    </row>
    <row r="47" spans="2:13" x14ac:dyDescent="0.25">
      <c r="B47" s="9">
        <v>0.67683281839999998</v>
      </c>
      <c r="C47" s="5">
        <v>2.5992764249999998</v>
      </c>
      <c r="D47" s="8">
        <v>0.3164308878</v>
      </c>
      <c r="E47" s="10">
        <f t="shared" si="0"/>
        <v>0.31680401719542267</v>
      </c>
      <c r="F47" s="3">
        <f t="shared" si="1"/>
        <v>73.421591502932444</v>
      </c>
      <c r="G47" s="3">
        <f t="shared" si="1"/>
        <v>281.96477282336321</v>
      </c>
      <c r="H47" s="28">
        <v>2.0242133209999999E-2</v>
      </c>
      <c r="I47" s="2">
        <v>-1.0294474350000001E-2</v>
      </c>
      <c r="J47" s="5">
        <v>-26.02361938</v>
      </c>
      <c r="K47" s="2">
        <v>-86.009145119999999</v>
      </c>
      <c r="L47" s="5">
        <v>-8.7363949630000004</v>
      </c>
      <c r="M47" s="2">
        <v>-27.78531534</v>
      </c>
    </row>
    <row r="48" spans="2:13" x14ac:dyDescent="0.25">
      <c r="B48" s="9">
        <v>0.67419873470000002</v>
      </c>
      <c r="C48" s="5">
        <v>2.5821959699999999</v>
      </c>
      <c r="D48" s="8">
        <v>0.35261149069999997</v>
      </c>
      <c r="E48" s="10">
        <f t="shared" si="0"/>
        <v>0.35302728358690399</v>
      </c>
      <c r="F48" s="3">
        <f t="shared" si="1"/>
        <v>73.135850900307545</v>
      </c>
      <c r="G48" s="3">
        <f t="shared" si="1"/>
        <v>280.11191617161455</v>
      </c>
      <c r="H48" s="28">
        <v>2.0242133209999999E-2</v>
      </c>
      <c r="I48" s="2">
        <v>-1.0294474350000001E-2</v>
      </c>
      <c r="J48" s="5">
        <v>-24.435286820000002</v>
      </c>
      <c r="K48" s="2">
        <v>-80.384439909999998</v>
      </c>
      <c r="L48" s="5">
        <v>-7.767967295</v>
      </c>
      <c r="M48" s="2">
        <v>-24.584621599999998</v>
      </c>
    </row>
    <row r="49" spans="2:13" x14ac:dyDescent="0.25">
      <c r="B49" s="9">
        <v>0.67134053859999998</v>
      </c>
      <c r="C49" s="5">
        <v>2.5637792560000001</v>
      </c>
      <c r="D49" s="8">
        <v>0.38661812639999998</v>
      </c>
      <c r="E49" s="10">
        <f t="shared" si="0"/>
        <v>0.38707401927684915</v>
      </c>
      <c r="F49" s="3">
        <f t="shared" si="1"/>
        <v>72.825798992680546</v>
      </c>
      <c r="G49" s="3">
        <f t="shared" si="1"/>
        <v>278.11410457711946</v>
      </c>
      <c r="H49" s="28">
        <v>2.0242133209999999E-2</v>
      </c>
      <c r="I49" s="2">
        <v>-1.0294474350000001E-2</v>
      </c>
      <c r="J49" s="5">
        <v>-22.939061670000001</v>
      </c>
      <c r="K49" s="2">
        <v>-75.106411199999997</v>
      </c>
      <c r="L49" s="5">
        <v>-6.9091208740000001</v>
      </c>
      <c r="M49" s="2">
        <v>-21.75928588</v>
      </c>
    </row>
    <row r="50" spans="2:13" x14ac:dyDescent="0.25">
      <c r="B50" s="9">
        <v>0.66829893659999995</v>
      </c>
      <c r="C50" s="5">
        <v>2.544332405</v>
      </c>
      <c r="D50" s="8">
        <v>0.41824113280000003</v>
      </c>
      <c r="E50" s="10">
        <f t="shared" si="0"/>
        <v>0.41873431493562385</v>
      </c>
      <c r="F50" s="3">
        <f t="shared" si="1"/>
        <v>72.495851547037432</v>
      </c>
      <c r="G50" s="3">
        <f t="shared" si="1"/>
        <v>276.00454559693333</v>
      </c>
      <c r="H50" s="28">
        <v>2.0242133209999999E-2</v>
      </c>
      <c r="I50" s="2">
        <v>-1.0294474350000001E-2</v>
      </c>
      <c r="J50" s="5">
        <v>-21.544028310000002</v>
      </c>
      <c r="K50" s="2">
        <v>-70.205805150000003</v>
      </c>
      <c r="L50" s="5">
        <v>-6.1552176540000003</v>
      </c>
      <c r="M50" s="2">
        <v>-19.290877800000001</v>
      </c>
    </row>
    <row r="51" spans="2:13" x14ac:dyDescent="0.25">
      <c r="B51" s="9">
        <v>0.66512340479999998</v>
      </c>
      <c r="C51" s="5">
        <v>2.5242155930000001</v>
      </c>
      <c r="D51" s="8">
        <v>0.4472855436</v>
      </c>
      <c r="E51" s="10">
        <f t="shared" si="0"/>
        <v>0.44781297436260697</v>
      </c>
      <c r="F51" s="3">
        <f t="shared" si="1"/>
        <v>72.151375640601145</v>
      </c>
      <c r="G51" s="3">
        <f t="shared" si="1"/>
        <v>273.82231046758949</v>
      </c>
      <c r="H51" s="28">
        <v>2.0242133209999999E-2</v>
      </c>
      <c r="I51" s="2">
        <v>-1.0294474350000001E-2</v>
      </c>
      <c r="J51" s="5">
        <v>-20.258479619999999</v>
      </c>
      <c r="K51" s="2">
        <v>-65.709513950000002</v>
      </c>
      <c r="L51" s="5">
        <v>-5.5006985449999997</v>
      </c>
      <c r="M51" s="2">
        <v>-17.157987869999999</v>
      </c>
    </row>
    <row r="52" spans="2:13" x14ac:dyDescent="0.25">
      <c r="B52" s="9">
        <v>0.66187274880000002</v>
      </c>
      <c r="C52" s="5">
        <v>2.5038427959999998</v>
      </c>
      <c r="D52" s="8">
        <v>0.47357229020000002</v>
      </c>
      <c r="E52" s="10">
        <f t="shared" si="0"/>
        <v>0.47413071780344856</v>
      </c>
      <c r="F52" s="3">
        <f t="shared" si="1"/>
        <v>71.798750397763854</v>
      </c>
      <c r="G52" s="3">
        <f t="shared" si="1"/>
        <v>271.61230655164138</v>
      </c>
      <c r="H52" s="28">
        <v>2.0242133209999999E-2</v>
      </c>
      <c r="I52" s="2">
        <v>-1.0294474350000001E-2</v>
      </c>
      <c r="J52" s="5">
        <v>-19.089862409999999</v>
      </c>
      <c r="K52" s="2">
        <v>-61.640472799999998</v>
      </c>
      <c r="L52" s="5">
        <v>-4.9393707899999999</v>
      </c>
      <c r="M52" s="2">
        <v>-15.33728984</v>
      </c>
    </row>
    <row r="53" spans="2:13" x14ac:dyDescent="0.25">
      <c r="B53" s="9">
        <v>0.65861390730000002</v>
      </c>
      <c r="C53" s="5">
        <v>2.4836728290000001</v>
      </c>
      <c r="D53" s="8">
        <v>0.49693930619999999</v>
      </c>
      <c r="E53" s="10">
        <f t="shared" si="0"/>
        <v>0.49752528775247523</v>
      </c>
      <c r="F53" s="3">
        <f t="shared" si="1"/>
        <v>71.445237206793848</v>
      </c>
      <c r="G53" s="3">
        <f t="shared" si="1"/>
        <v>269.42430526470258</v>
      </c>
      <c r="H53" s="28">
        <v>2.0242133209999999E-2</v>
      </c>
      <c r="I53" s="2">
        <v>-1.0294474350000001E-2</v>
      </c>
      <c r="J53" s="5">
        <v>-18.044737049999998</v>
      </c>
      <c r="K53" s="2">
        <v>-58.017670799999998</v>
      </c>
      <c r="L53" s="5">
        <v>-4.4646974110000004</v>
      </c>
      <c r="M53" s="2">
        <v>-13.80458673</v>
      </c>
    </row>
    <row r="54" spans="2:13" x14ac:dyDescent="0.25">
      <c r="B54" s="9">
        <v>0.6554180127</v>
      </c>
      <c r="C54" s="5">
        <v>2.4641885590000001</v>
      </c>
      <c r="D54" s="8">
        <v>0.5172425262</v>
      </c>
      <c r="E54" s="10">
        <f t="shared" si="0"/>
        <v>0.5178524489304569</v>
      </c>
      <c r="F54" s="3">
        <f t="shared" si="1"/>
        <v>71.098552380897956</v>
      </c>
      <c r="G54" s="3">
        <f t="shared" si="1"/>
        <v>267.31068713954335</v>
      </c>
      <c r="H54" s="28">
        <v>2.0242133209999999E-2</v>
      </c>
      <c r="I54" s="2">
        <v>-1.0294474350000001E-2</v>
      </c>
      <c r="J54" s="5">
        <v>-17.128754959999998</v>
      </c>
      <c r="K54" s="2">
        <v>-54.856287160000001</v>
      </c>
      <c r="L54" s="5">
        <v>-4.0700802129999998</v>
      </c>
      <c r="M54" s="2">
        <v>-12.535808429999999</v>
      </c>
    </row>
    <row r="55" spans="2:13" x14ac:dyDescent="0.25">
      <c r="B55" s="65">
        <v>0.6523525724</v>
      </c>
      <c r="C55" s="66">
        <v>2.4458622339999998</v>
      </c>
      <c r="D55" s="79">
        <v>0.53435677390000003</v>
      </c>
      <c r="E55" s="67">
        <f t="shared" si="0"/>
        <v>0.5349868774318377</v>
      </c>
      <c r="F55" s="68">
        <f t="shared" si="1"/>
        <v>70.766018999884778</v>
      </c>
      <c r="G55" s="68">
        <f t="shared" si="1"/>
        <v>265.32268077915319</v>
      </c>
      <c r="H55" s="69">
        <v>2.0242133209999999E-2</v>
      </c>
      <c r="I55" s="70">
        <v>-1.0294474350000001E-2</v>
      </c>
      <c r="J55" s="66">
        <v>-16.346656280000001</v>
      </c>
      <c r="K55" s="70">
        <v>-52.167952419999999</v>
      </c>
      <c r="L55" s="66">
        <v>-3.749128201</v>
      </c>
      <c r="M55" s="70">
        <v>-11.507932459999999</v>
      </c>
    </row>
    <row r="56" spans="2:13" x14ac:dyDescent="0.25">
      <c r="B56" s="9">
        <v>0.64946857059999996</v>
      </c>
      <c r="C56" s="5">
        <v>2.4291192599999998</v>
      </c>
      <c r="D56" s="8">
        <v>0.54817653450000003</v>
      </c>
      <c r="E56" s="10">
        <f t="shared" si="0"/>
        <v>0.54882293403553506</v>
      </c>
      <c r="F56" s="3">
        <f t="shared" si="1"/>
        <v>70.453167736918715</v>
      </c>
      <c r="G56" s="3">
        <f t="shared" si="1"/>
        <v>263.50643345166958</v>
      </c>
      <c r="H56" s="28">
        <v>2.0242133209999999E-2</v>
      </c>
      <c r="I56" s="2">
        <v>-1.0294474350000001E-2</v>
      </c>
      <c r="J56" s="5">
        <v>-15.7022864</v>
      </c>
      <c r="K56" s="2">
        <v>-49.961118140000004</v>
      </c>
      <c r="L56" s="5">
        <v>-3.495904098</v>
      </c>
      <c r="M56" s="2">
        <v>-10.699804930000001</v>
      </c>
    </row>
    <row r="57" spans="2:13" x14ac:dyDescent="0.25">
      <c r="B57" s="9">
        <v>0.64678173920000004</v>
      </c>
      <c r="C57" s="5">
        <v>2.41440039</v>
      </c>
      <c r="D57" s="8">
        <v>0.55861660440000005</v>
      </c>
      <c r="E57" s="10">
        <f t="shared" si="0"/>
        <v>0.55927531467105474</v>
      </c>
      <c r="F57" s="3">
        <f t="shared" si="1"/>
        <v>70.161705159861071</v>
      </c>
      <c r="G57" s="3">
        <f t="shared" si="1"/>
        <v>261.90975723984013</v>
      </c>
      <c r="H57" s="28">
        <v>2.0242133209999999E-2</v>
      </c>
      <c r="I57" s="2">
        <v>-1.0294474350000001E-2</v>
      </c>
      <c r="J57" s="5">
        <v>-15.19862404</v>
      </c>
      <c r="K57" s="2">
        <v>-48.24149603</v>
      </c>
      <c r="L57" s="5">
        <v>-3.3051426679999998</v>
      </c>
      <c r="M57" s="2">
        <v>-10.09284527</v>
      </c>
    </row>
    <row r="58" spans="2:13" x14ac:dyDescent="0.25">
      <c r="B58" s="9">
        <v>0.64425362959999999</v>
      </c>
      <c r="C58" s="5">
        <v>2.4026499399999999</v>
      </c>
      <c r="D58" s="8">
        <v>0.5656126172</v>
      </c>
      <c r="E58" s="10">
        <f t="shared" si="0"/>
        <v>0.56627957703873943</v>
      </c>
      <c r="F58" s="3">
        <f t="shared" si="1"/>
        <v>69.887460434605828</v>
      </c>
      <c r="G58" s="3">
        <f t="shared" si="1"/>
        <v>260.63508982357166</v>
      </c>
      <c r="H58" s="28">
        <v>2.0242133209999999E-2</v>
      </c>
      <c r="I58" s="2">
        <v>-1.0294474350000001E-2</v>
      </c>
      <c r="J58" s="5">
        <v>-14.83780449</v>
      </c>
      <c r="K58" s="2">
        <v>-47.012498950000001</v>
      </c>
      <c r="L58" s="5">
        <v>-3.17243589</v>
      </c>
      <c r="M58" s="2">
        <v>-9.6716246740000003</v>
      </c>
    </row>
    <row r="59" spans="2:13" x14ac:dyDescent="0.25">
      <c r="B59" s="9">
        <v>0.64188380980000004</v>
      </c>
      <c r="C59" s="5">
        <v>2.3966007710000001</v>
      </c>
      <c r="D59" s="8">
        <v>0.56912144009999999</v>
      </c>
      <c r="E59" s="10">
        <f t="shared" si="0"/>
        <v>0.5697925374771966</v>
      </c>
      <c r="F59" s="3">
        <f t="shared" si="1"/>
        <v>69.630386698579741</v>
      </c>
      <c r="G59" s="3">
        <f t="shared" si="1"/>
        <v>259.97888698710148</v>
      </c>
      <c r="H59" s="28">
        <v>2.0242133209999999E-2</v>
      </c>
      <c r="I59" s="2">
        <v>-1.0294474350000001E-2</v>
      </c>
      <c r="J59" s="5">
        <v>-14.62111672</v>
      </c>
      <c r="K59" s="2">
        <v>-46.275590190000003</v>
      </c>
      <c r="L59" s="5">
        <v>-3.0943812319999999</v>
      </c>
      <c r="M59" s="2">
        <v>-9.4243141969999993</v>
      </c>
    </row>
    <row r="60" spans="2:13" x14ac:dyDescent="0.25">
      <c r="B60" s="9">
        <v>0.64245588440000001</v>
      </c>
      <c r="C60" s="5">
        <v>2.3897322349999999</v>
      </c>
      <c r="D60" s="8">
        <v>0.5924736196</v>
      </c>
      <c r="E60" s="10">
        <f t="shared" si="0"/>
        <v>0.59317225343129953</v>
      </c>
      <c r="F60" s="3">
        <f t="shared" si="1"/>
        <v>69.692444309334618</v>
      </c>
      <c r="G60" s="3">
        <f t="shared" si="1"/>
        <v>259.23380071068931</v>
      </c>
      <c r="H60" s="28">
        <v>2.0242133209999999E-2</v>
      </c>
      <c r="I60" s="26">
        <v>-1.0294474350000001E-2</v>
      </c>
      <c r="J60" s="5">
        <v>-14.548965470000001</v>
      </c>
      <c r="K60" s="2">
        <v>-46.03039613</v>
      </c>
      <c r="L60" s="5">
        <v>-3.0686901789999999</v>
      </c>
      <c r="M60" s="2">
        <v>-9.3430024419999995</v>
      </c>
    </row>
    <row r="61" spans="2:13" x14ac:dyDescent="0.25">
      <c r="B61" s="9">
        <v>0.63734938699999999</v>
      </c>
      <c r="C61" s="5">
        <v>2.363778495</v>
      </c>
      <c r="D61" s="8">
        <v>0.6371746331</v>
      </c>
      <c r="E61" s="10">
        <f t="shared" si="0"/>
        <v>0.63792597753189229</v>
      </c>
      <c r="F61" s="3">
        <f t="shared" si="1"/>
        <v>69.138500771253987</v>
      </c>
      <c r="G61" s="3">
        <f t="shared" si="1"/>
        <v>256.41838626202536</v>
      </c>
      <c r="H61" s="28">
        <v>1.7681197879999999E-2</v>
      </c>
      <c r="I61" s="26">
        <v>-8.3677868589999999E-3</v>
      </c>
      <c r="J61" s="5">
        <v>-12.71454104</v>
      </c>
      <c r="K61" s="2">
        <v>-39.821528809999997</v>
      </c>
      <c r="L61" s="5">
        <v>-2.4147543480000002</v>
      </c>
      <c r="M61" s="2">
        <v>-7.2740632170000001</v>
      </c>
    </row>
    <row r="62" spans="2:13" x14ac:dyDescent="0.25">
      <c r="B62" s="9">
        <v>0.62933519709999997</v>
      </c>
      <c r="C62" s="5">
        <v>2.3221842669999999</v>
      </c>
      <c r="D62" s="8">
        <v>0.68113966729999997</v>
      </c>
      <c r="E62" s="10">
        <f t="shared" si="0"/>
        <v>0.68194285447943448</v>
      </c>
      <c r="F62" s="3">
        <f t="shared" si="1"/>
        <v>68.269136046216403</v>
      </c>
      <c r="G62" s="3">
        <f t="shared" si="1"/>
        <v>251.90632015932786</v>
      </c>
      <c r="H62" s="28">
        <v>1.5227841359999999E-2</v>
      </c>
      <c r="I62" s="26">
        <v>-6.5125641740000004E-3</v>
      </c>
      <c r="J62" s="5">
        <v>-10.938398429999999</v>
      </c>
      <c r="K62" s="2">
        <v>-33.850799960000003</v>
      </c>
      <c r="L62" s="5">
        <v>-1.8495321229999999</v>
      </c>
      <c r="M62" s="2">
        <v>-5.5038056019999999</v>
      </c>
    </row>
    <row r="63" spans="2:13" x14ac:dyDescent="0.25">
      <c r="B63" s="9">
        <v>0.61812684920000005</v>
      </c>
      <c r="C63" s="5">
        <v>2.2644369649999998</v>
      </c>
      <c r="D63" s="8">
        <v>0.72388703210000005</v>
      </c>
      <c r="E63" s="10">
        <f t="shared" si="0"/>
        <v>0.72474062617395307</v>
      </c>
      <c r="F63" s="3">
        <f t="shared" si="1"/>
        <v>67.053274878488267</v>
      </c>
      <c r="G63" s="3">
        <f t="shared" si="1"/>
        <v>245.64199800683031</v>
      </c>
      <c r="H63" s="28">
        <v>1.2909942589999999E-2</v>
      </c>
      <c r="I63" s="26">
        <v>-4.7942829890000004E-3</v>
      </c>
      <c r="J63" s="5">
        <v>-9.2440319889999998</v>
      </c>
      <c r="K63" s="2">
        <v>-28.207621140000001</v>
      </c>
      <c r="L63" s="5">
        <v>-1.3739821830000001</v>
      </c>
      <c r="M63" s="2">
        <v>-4.0321325769999996</v>
      </c>
    </row>
    <row r="64" spans="2:13" x14ac:dyDescent="0.25">
      <c r="B64" s="9">
        <v>0.60312841979999998</v>
      </c>
      <c r="C64" s="5">
        <v>2.1885027520000002</v>
      </c>
      <c r="D64" s="8">
        <v>0.76494837829999995</v>
      </c>
      <c r="E64" s="10">
        <f t="shared" si="0"/>
        <v>0.76585039114681475</v>
      </c>
      <c r="F64" s="3">
        <f t="shared" si="1"/>
        <v>65.426272572075916</v>
      </c>
      <c r="G64" s="3">
        <f t="shared" si="1"/>
        <v>237.40479287076411</v>
      </c>
      <c r="H64" s="28">
        <v>1.0748741270000001E-2</v>
      </c>
      <c r="I64" s="26">
        <v>-3.2660549270000002E-3</v>
      </c>
      <c r="J64" s="5">
        <v>-7.6526078819999999</v>
      </c>
      <c r="K64" s="2">
        <v>-22.97126467</v>
      </c>
      <c r="L64" s="8">
        <v>-0.98555305250000003</v>
      </c>
      <c r="M64" s="26">
        <v>-2.846863881</v>
      </c>
    </row>
    <row r="65" spans="2:13" x14ac:dyDescent="0.25">
      <c r="B65" s="9">
        <v>0.58366706970000004</v>
      </c>
      <c r="C65" s="5">
        <v>2.0922486810000001</v>
      </c>
      <c r="D65" s="5">
        <v>0.80387382919999995</v>
      </c>
      <c r="E65" s="10">
        <f t="shared" si="0"/>
        <v>0.80482174221181402</v>
      </c>
      <c r="F65" s="3">
        <f t="shared" si="1"/>
        <v>63.315140755927338</v>
      </c>
      <c r="G65" s="3">
        <f t="shared" si="1"/>
        <v>226.96332654505815</v>
      </c>
      <c r="H65" s="28">
        <v>8.7613175339999998E-3</v>
      </c>
      <c r="I65" s="2">
        <v>-1.9720031580000002E-3</v>
      </c>
      <c r="J65" s="5">
        <v>-6.183326514</v>
      </c>
      <c r="K65" s="2">
        <v>-18.210974920000002</v>
      </c>
      <c r="L65" s="5">
        <v>-0.67865865540000003</v>
      </c>
      <c r="M65" s="2">
        <v>-1.925641661</v>
      </c>
    </row>
    <row r="66" spans="2:13" x14ac:dyDescent="0.25">
      <c r="B66" s="9">
        <v>0.55905173249999995</v>
      </c>
      <c r="C66" s="5">
        <v>1.973978899</v>
      </c>
      <c r="D66" s="5">
        <v>0.84023690959999997</v>
      </c>
      <c r="E66" s="10">
        <f t="shared" si="0"/>
        <v>0.84122770127735669</v>
      </c>
      <c r="F66" s="3">
        <f t="shared" si="1"/>
        <v>60.64491380552959</v>
      </c>
      <c r="G66" s="3">
        <f t="shared" si="1"/>
        <v>214.13363598473279</v>
      </c>
      <c r="H66" s="28">
        <v>6.9613985329999998E-3</v>
      </c>
      <c r="I66" s="2">
        <v>-9.4358373490000002E-4</v>
      </c>
      <c r="J66" s="5">
        <v>-4.8531092070000001</v>
      </c>
      <c r="K66" s="2">
        <v>-13.98360375</v>
      </c>
      <c r="L66" s="5">
        <v>-0.44525255790000001</v>
      </c>
      <c r="M66" s="2">
        <v>-1.238219999</v>
      </c>
    </row>
    <row r="67" spans="2:13" x14ac:dyDescent="0.25">
      <c r="B67" s="9">
        <v>0.52859882499999999</v>
      </c>
      <c r="C67" s="5">
        <v>1.832725457</v>
      </c>
      <c r="D67" s="5">
        <v>0.87363921779999998</v>
      </c>
      <c r="E67" s="10">
        <f t="shared" si="0"/>
        <v>0.87466939685559608</v>
      </c>
      <c r="F67" s="3">
        <f t="shared" si="1"/>
        <v>57.341437860277487</v>
      </c>
      <c r="G67" s="3">
        <f t="shared" si="1"/>
        <v>198.81071984508131</v>
      </c>
      <c r="H67" s="28">
        <v>5.3598707630000001E-3</v>
      </c>
      <c r="I67" s="2">
        <v>-1.950155286E-4</v>
      </c>
      <c r="J67" s="5">
        <v>-3.6761140769999998</v>
      </c>
      <c r="K67" s="2">
        <v>-10.330539590000001</v>
      </c>
      <c r="L67" s="5">
        <v>-0.27549806650000003</v>
      </c>
      <c r="M67" s="2">
        <v>-0.7490944839</v>
      </c>
    </row>
    <row r="68" spans="2:13" x14ac:dyDescent="0.25">
      <c r="B68" s="9">
        <v>0.49164673869999997</v>
      </c>
      <c r="C68" s="5">
        <v>1.6683623949999999</v>
      </c>
      <c r="D68" s="5">
        <v>0.90371479129999999</v>
      </c>
      <c r="E68" s="10">
        <f t="shared" si="0"/>
        <v>0.90478043491038418</v>
      </c>
      <c r="F68" s="3">
        <f t="shared" si="1"/>
        <v>53.332942835001823</v>
      </c>
      <c r="G68" s="3">
        <f t="shared" si="1"/>
        <v>180.98091421470002</v>
      </c>
      <c r="H68" s="28">
        <v>3.9651427460000001E-3</v>
      </c>
      <c r="I68" s="2">
        <v>2.8010989250000002E-4</v>
      </c>
      <c r="J68" s="5">
        <v>-2.6631465040000002</v>
      </c>
      <c r="K68" s="2">
        <v>-7.2746903190000003</v>
      </c>
      <c r="L68" s="5">
        <v>-0.15850164010000001</v>
      </c>
      <c r="M68" s="2">
        <v>-0.4203135509</v>
      </c>
    </row>
    <row r="69" spans="2:13" x14ac:dyDescent="0.25">
      <c r="B69" s="9">
        <v>0.44757360010000002</v>
      </c>
      <c r="C69" s="5">
        <v>1.4816157999999999</v>
      </c>
      <c r="D69" s="5">
        <v>0.93013411560000003</v>
      </c>
      <c r="E69" s="10">
        <f t="shared" si="0"/>
        <v>0.93123091238437461</v>
      </c>
      <c r="F69" s="3">
        <f t="shared" si="1"/>
        <v>48.551969024968678</v>
      </c>
      <c r="G69" s="3">
        <f t="shared" si="1"/>
        <v>160.72298368901087</v>
      </c>
      <c r="H69" s="28">
        <v>2.7833220600000002E-3</v>
      </c>
      <c r="I69" s="2">
        <v>5.0992885300000005E-4</v>
      </c>
      <c r="J69" s="5">
        <v>-1.8209715959999999</v>
      </c>
      <c r="K69" s="2">
        <v>-4.8180927369999997</v>
      </c>
      <c r="L69" s="5">
        <v>-8.3067928459999996E-2</v>
      </c>
      <c r="M69" s="2">
        <v>-0.21425771020000001</v>
      </c>
    </row>
    <row r="70" spans="2:13" x14ac:dyDescent="0.25">
      <c r="B70" s="9">
        <v>0.39583333710000002</v>
      </c>
      <c r="C70" s="5">
        <v>1.274054107</v>
      </c>
      <c r="D70" s="5">
        <v>0.95260773519999997</v>
      </c>
      <c r="E70" s="10">
        <f t="shared" ref="E70:E104" si="2">-(D70/$D$5)</f>
        <v>0.95373103245704516</v>
      </c>
      <c r="F70" s="3">
        <f t="shared" ref="F70:G103" si="3">1/2*$A$108*($B$108)^2*$C$108*B70</f>
        <v>42.939279523267807</v>
      </c>
      <c r="G70" s="3">
        <f t="shared" si="3"/>
        <v>138.20706924040519</v>
      </c>
      <c r="H70" s="28">
        <v>1.8180722979999999E-3</v>
      </c>
      <c r="I70" s="2">
        <v>5.4260803020000003E-4</v>
      </c>
      <c r="J70" s="5">
        <v>-1.1515267840000001</v>
      </c>
      <c r="K70" s="2">
        <v>-2.9404627429999999</v>
      </c>
      <c r="L70" s="5">
        <v>-3.8429329919999998E-2</v>
      </c>
      <c r="M70" s="2">
        <v>-9.6148834830000002E-2</v>
      </c>
    </row>
    <row r="71" spans="2:13" x14ac:dyDescent="0.25">
      <c r="B71" s="9">
        <v>0.33602585969999998</v>
      </c>
      <c r="C71" s="5">
        <v>1.048127429</v>
      </c>
      <c r="D71" s="5">
        <v>0.97088942440000003</v>
      </c>
      <c r="E71" s="10">
        <f t="shared" si="2"/>
        <v>0.9720342790836477</v>
      </c>
      <c r="F71" s="3">
        <f t="shared" si="3"/>
        <v>36.451473295336726</v>
      </c>
      <c r="G71" s="3">
        <f t="shared" si="3"/>
        <v>113.69895466501634</v>
      </c>
      <c r="H71" s="28">
        <v>1.0698911140000001E-3</v>
      </c>
      <c r="I71" s="2">
        <v>4.417196541E-4</v>
      </c>
      <c r="J71" s="5">
        <v>-0.65104108199999999</v>
      </c>
      <c r="K71" s="2">
        <v>-1.598781663</v>
      </c>
      <c r="L71" s="5">
        <v>-1.489946556E-2</v>
      </c>
      <c r="M71" s="2">
        <v>-3.6064527229999997E-2</v>
      </c>
    </row>
    <row r="72" spans="2:13" x14ac:dyDescent="0.25">
      <c r="B72" s="9">
        <v>0.26803590240000003</v>
      </c>
      <c r="C72" s="5">
        <v>0.80735360040000004</v>
      </c>
      <c r="D72" s="5">
        <v>0.98477888520000001</v>
      </c>
      <c r="E72" s="10">
        <f t="shared" si="2"/>
        <v>0.98594011807651971</v>
      </c>
      <c r="F72" s="3">
        <f t="shared" si="3"/>
        <v>29.076046549655125</v>
      </c>
      <c r="G72" s="3">
        <f t="shared" si="3"/>
        <v>87.580248231932615</v>
      </c>
      <c r="H72" s="28">
        <v>5.3438577400000001E-4</v>
      </c>
      <c r="I72" s="2">
        <v>2.7863652530000002E-4</v>
      </c>
      <c r="J72" s="5">
        <v>-0.30906661489999998</v>
      </c>
      <c r="K72" s="2">
        <v>-0.72791950520000004</v>
      </c>
      <c r="L72" s="5">
        <v>-4.3983322689999998E-3</v>
      </c>
      <c r="M72" s="2">
        <v>-1.027657035E-2</v>
      </c>
    </row>
    <row r="73" spans="2:13" x14ac:dyDescent="0.25">
      <c r="B73" s="9">
        <v>0.1924607773</v>
      </c>
      <c r="C73" s="5">
        <v>0.55724254070000001</v>
      </c>
      <c r="D73" s="5">
        <v>0.99412394169999996</v>
      </c>
      <c r="E73" s="10">
        <f t="shared" si="2"/>
        <v>0.99529619409268089</v>
      </c>
      <c r="F73" s="3">
        <f t="shared" si="3"/>
        <v>20.877794615015752</v>
      </c>
      <c r="G73" s="3">
        <f t="shared" si="3"/>
        <v>60.448655973936759</v>
      </c>
      <c r="H73" s="28">
        <v>1.989415051E-4</v>
      </c>
      <c r="I73" s="2">
        <v>1.2170554989999999E-4</v>
      </c>
      <c r="J73" s="5">
        <v>-0.10733982089999999</v>
      </c>
      <c r="K73" s="2">
        <v>-0.2422964235</v>
      </c>
      <c r="L73" s="5">
        <v>-7.979638707E-4</v>
      </c>
      <c r="M73" s="2">
        <v>-1.796914972E-3</v>
      </c>
    </row>
    <row r="74" spans="2:13" x14ac:dyDescent="0.25">
      <c r="B74" s="9">
        <v>0.1143529954</v>
      </c>
      <c r="C74" s="5">
        <v>0.31429487249999999</v>
      </c>
      <c r="D74" s="5">
        <v>0.99882220749999995</v>
      </c>
      <c r="E74" s="10">
        <f t="shared" si="2"/>
        <v>1</v>
      </c>
      <c r="F74" s="3">
        <f t="shared" si="3"/>
        <v>12.404804683146425</v>
      </c>
      <c r="G74" s="3">
        <f t="shared" si="3"/>
        <v>34.094135380006918</v>
      </c>
      <c r="H74" s="28">
        <v>3.7067841029999999E-5</v>
      </c>
      <c r="I74" s="2">
        <v>2.160058291E-5</v>
      </c>
      <c r="J74" s="5">
        <v>-1.791058853E-2</v>
      </c>
      <c r="K74" s="2">
        <v>-3.8597108909999997E-2</v>
      </c>
      <c r="L74" s="8">
        <v>-4.218991354E-5</v>
      </c>
      <c r="M74" s="26">
        <v>-9.0918770470000001E-5</v>
      </c>
    </row>
    <row r="75" spans="2:13" x14ac:dyDescent="0.25">
      <c r="B75" s="9"/>
      <c r="C75" s="5"/>
      <c r="D75" s="5"/>
      <c r="E75" s="10">
        <f t="shared" si="2"/>
        <v>0</v>
      </c>
      <c r="F75" s="3">
        <f t="shared" si="3"/>
        <v>0</v>
      </c>
      <c r="G75" s="3">
        <f t="shared" si="3"/>
        <v>0</v>
      </c>
      <c r="H75" s="28"/>
      <c r="I75" s="2"/>
      <c r="J75" s="5"/>
      <c r="K75" s="2"/>
      <c r="L75" s="5"/>
      <c r="M75" s="2"/>
    </row>
    <row r="76" spans="2:13" x14ac:dyDescent="0.25">
      <c r="B76" s="9"/>
      <c r="C76" s="5"/>
      <c r="D76" s="5"/>
      <c r="E76" s="10">
        <f t="shared" si="2"/>
        <v>0</v>
      </c>
      <c r="F76" s="3">
        <f t="shared" si="3"/>
        <v>0</v>
      </c>
      <c r="G76" s="3">
        <f t="shared" si="3"/>
        <v>0</v>
      </c>
      <c r="H76" s="28"/>
      <c r="I76" s="2"/>
      <c r="J76" s="5"/>
      <c r="K76" s="2"/>
      <c r="L76" s="5"/>
      <c r="M76" s="2"/>
    </row>
    <row r="77" spans="2:13" x14ac:dyDescent="0.25">
      <c r="B77" s="9"/>
      <c r="C77" s="5"/>
      <c r="D77" s="5"/>
      <c r="E77" s="10">
        <f t="shared" si="2"/>
        <v>0</v>
      </c>
      <c r="F77" s="3">
        <f t="shared" si="3"/>
        <v>0</v>
      </c>
      <c r="G77" s="3">
        <f t="shared" si="3"/>
        <v>0</v>
      </c>
      <c r="H77" s="28"/>
      <c r="I77" s="2"/>
      <c r="J77" s="5"/>
      <c r="K77" s="2"/>
      <c r="L77" s="5"/>
      <c r="M77" s="2"/>
    </row>
    <row r="78" spans="2:13" x14ac:dyDescent="0.25">
      <c r="B78" s="9"/>
      <c r="C78" s="5"/>
      <c r="D78" s="5"/>
      <c r="E78" s="10">
        <f t="shared" si="2"/>
        <v>0</v>
      </c>
      <c r="F78" s="3">
        <f t="shared" si="3"/>
        <v>0</v>
      </c>
      <c r="G78" s="3">
        <f t="shared" si="3"/>
        <v>0</v>
      </c>
      <c r="H78" s="28"/>
      <c r="I78" s="2"/>
      <c r="J78" s="5"/>
      <c r="K78" s="2"/>
      <c r="L78" s="5"/>
      <c r="M78" s="2"/>
    </row>
    <row r="79" spans="2:13" x14ac:dyDescent="0.25">
      <c r="B79" s="9"/>
      <c r="C79" s="5"/>
      <c r="D79" s="5"/>
      <c r="E79" s="10">
        <f t="shared" si="2"/>
        <v>0</v>
      </c>
      <c r="F79" s="3">
        <f t="shared" si="3"/>
        <v>0</v>
      </c>
      <c r="G79" s="3">
        <f t="shared" si="3"/>
        <v>0</v>
      </c>
      <c r="H79" s="28"/>
      <c r="I79" s="2"/>
      <c r="J79" s="5"/>
      <c r="K79" s="2"/>
      <c r="L79" s="5"/>
      <c r="M79" s="2"/>
    </row>
    <row r="80" spans="2:13" x14ac:dyDescent="0.25">
      <c r="B80" s="9"/>
      <c r="C80" s="5"/>
      <c r="D80" s="5"/>
      <c r="E80" s="10">
        <f t="shared" si="2"/>
        <v>0</v>
      </c>
      <c r="F80" s="3">
        <f t="shared" si="3"/>
        <v>0</v>
      </c>
      <c r="G80" s="3">
        <f t="shared" si="3"/>
        <v>0</v>
      </c>
      <c r="H80" s="28"/>
      <c r="I80" s="2"/>
      <c r="J80" s="5"/>
      <c r="K80" s="2"/>
      <c r="L80" s="5"/>
      <c r="M80" s="2"/>
    </row>
    <row r="81" spans="2:13" x14ac:dyDescent="0.25">
      <c r="B81" s="9"/>
      <c r="C81" s="5"/>
      <c r="D81" s="5"/>
      <c r="E81" s="10">
        <f t="shared" si="2"/>
        <v>0</v>
      </c>
      <c r="F81" s="3">
        <f t="shared" si="3"/>
        <v>0</v>
      </c>
      <c r="G81" s="3">
        <f t="shared" si="3"/>
        <v>0</v>
      </c>
      <c r="H81" s="28"/>
      <c r="I81" s="2"/>
      <c r="J81" s="5"/>
      <c r="K81" s="2"/>
      <c r="L81" s="5"/>
      <c r="M81" s="2"/>
    </row>
    <row r="82" spans="2:13" x14ac:dyDescent="0.25">
      <c r="B82" s="9"/>
      <c r="C82" s="5"/>
      <c r="D82" s="5"/>
      <c r="E82" s="10">
        <f t="shared" si="2"/>
        <v>0</v>
      </c>
      <c r="F82" s="3">
        <f t="shared" si="3"/>
        <v>0</v>
      </c>
      <c r="G82" s="3">
        <f t="shared" si="3"/>
        <v>0</v>
      </c>
      <c r="H82" s="28"/>
      <c r="I82" s="2"/>
      <c r="J82" s="5"/>
      <c r="K82" s="2"/>
      <c r="L82" s="5"/>
      <c r="M82" s="2"/>
    </row>
    <row r="83" spans="2:13" x14ac:dyDescent="0.25">
      <c r="B83" s="9"/>
      <c r="C83" s="5"/>
      <c r="D83" s="5"/>
      <c r="E83" s="10">
        <f t="shared" si="2"/>
        <v>0</v>
      </c>
      <c r="F83" s="3">
        <f t="shared" si="3"/>
        <v>0</v>
      </c>
      <c r="G83" s="3">
        <f t="shared" si="3"/>
        <v>0</v>
      </c>
      <c r="H83" s="28"/>
      <c r="I83" s="2"/>
      <c r="J83" s="5"/>
      <c r="K83" s="2"/>
      <c r="L83" s="5"/>
      <c r="M83" s="2"/>
    </row>
    <row r="84" spans="2:13" x14ac:dyDescent="0.25">
      <c r="B84" s="9"/>
      <c r="C84" s="5"/>
      <c r="D84" s="5"/>
      <c r="E84" s="10">
        <f t="shared" si="2"/>
        <v>0</v>
      </c>
      <c r="F84" s="3">
        <f t="shared" si="3"/>
        <v>0</v>
      </c>
      <c r="G84" s="3">
        <f t="shared" si="3"/>
        <v>0</v>
      </c>
      <c r="H84" s="28"/>
      <c r="I84" s="2"/>
      <c r="J84" s="5"/>
      <c r="K84" s="2"/>
      <c r="L84" s="5"/>
      <c r="M84" s="2"/>
    </row>
    <row r="85" spans="2:13" x14ac:dyDescent="0.25">
      <c r="B85" s="9"/>
      <c r="C85" s="5"/>
      <c r="D85" s="5"/>
      <c r="E85" s="10">
        <f t="shared" si="2"/>
        <v>0</v>
      </c>
      <c r="F85" s="3">
        <f t="shared" si="3"/>
        <v>0</v>
      </c>
      <c r="G85" s="3">
        <f t="shared" si="3"/>
        <v>0</v>
      </c>
      <c r="H85" s="28"/>
      <c r="I85" s="2"/>
      <c r="J85" s="5"/>
      <c r="K85" s="2"/>
      <c r="L85" s="5"/>
      <c r="M85" s="2"/>
    </row>
    <row r="86" spans="2:13" x14ac:dyDescent="0.25">
      <c r="B86" s="9"/>
      <c r="C86" s="5"/>
      <c r="D86" s="5"/>
      <c r="E86" s="10">
        <f t="shared" si="2"/>
        <v>0</v>
      </c>
      <c r="F86" s="3">
        <f t="shared" si="3"/>
        <v>0</v>
      </c>
      <c r="G86" s="3">
        <f t="shared" si="3"/>
        <v>0</v>
      </c>
      <c r="H86" s="28"/>
      <c r="I86" s="2"/>
      <c r="J86" s="5"/>
      <c r="K86" s="2"/>
      <c r="L86" s="5"/>
      <c r="M86" s="2"/>
    </row>
    <row r="87" spans="2:13" x14ac:dyDescent="0.25">
      <c r="B87" s="9"/>
      <c r="C87" s="5"/>
      <c r="D87" s="5"/>
      <c r="E87" s="10">
        <f t="shared" si="2"/>
        <v>0</v>
      </c>
      <c r="F87" s="3">
        <f t="shared" si="3"/>
        <v>0</v>
      </c>
      <c r="G87" s="3">
        <f t="shared" si="3"/>
        <v>0</v>
      </c>
      <c r="H87" s="28"/>
      <c r="I87" s="2"/>
      <c r="J87" s="5"/>
      <c r="K87" s="2"/>
      <c r="L87" s="5"/>
      <c r="M87" s="2"/>
    </row>
    <row r="88" spans="2:13" x14ac:dyDescent="0.25">
      <c r="B88" s="9"/>
      <c r="C88" s="5"/>
      <c r="D88" s="5"/>
      <c r="E88" s="10">
        <f t="shared" si="2"/>
        <v>0</v>
      </c>
      <c r="F88" s="3">
        <f t="shared" si="3"/>
        <v>0</v>
      </c>
      <c r="G88" s="3">
        <f t="shared" si="3"/>
        <v>0</v>
      </c>
      <c r="H88" s="28"/>
      <c r="I88" s="2"/>
      <c r="J88" s="5"/>
      <c r="K88" s="2"/>
      <c r="L88" s="5"/>
      <c r="M88" s="2"/>
    </row>
    <row r="89" spans="2:13" x14ac:dyDescent="0.25">
      <c r="B89" s="9"/>
      <c r="C89" s="5"/>
      <c r="D89" s="5"/>
      <c r="E89" s="10">
        <f t="shared" si="2"/>
        <v>0</v>
      </c>
      <c r="F89" s="3">
        <f t="shared" si="3"/>
        <v>0</v>
      </c>
      <c r="G89" s="3">
        <f t="shared" si="3"/>
        <v>0</v>
      </c>
      <c r="H89" s="28"/>
      <c r="I89" s="2"/>
      <c r="J89" s="5"/>
      <c r="K89" s="2"/>
      <c r="L89" s="5"/>
      <c r="M89" s="2"/>
    </row>
    <row r="90" spans="2:13" x14ac:dyDescent="0.25">
      <c r="B90" s="9"/>
      <c r="C90" s="5"/>
      <c r="D90" s="5"/>
      <c r="E90" s="10">
        <f t="shared" si="2"/>
        <v>0</v>
      </c>
      <c r="F90" s="3">
        <f t="shared" si="3"/>
        <v>0</v>
      </c>
      <c r="G90" s="3">
        <f t="shared" si="3"/>
        <v>0</v>
      </c>
      <c r="H90" s="28"/>
      <c r="I90" s="2"/>
      <c r="J90" s="5"/>
      <c r="K90" s="2"/>
      <c r="L90" s="5"/>
      <c r="M90" s="2"/>
    </row>
    <row r="91" spans="2:13" x14ac:dyDescent="0.25">
      <c r="B91" s="9"/>
      <c r="C91" s="5"/>
      <c r="D91" s="5"/>
      <c r="E91" s="10">
        <f t="shared" si="2"/>
        <v>0</v>
      </c>
      <c r="F91" s="3">
        <f t="shared" si="3"/>
        <v>0</v>
      </c>
      <c r="G91" s="3">
        <f t="shared" si="3"/>
        <v>0</v>
      </c>
      <c r="H91" s="28"/>
      <c r="I91" s="2"/>
      <c r="J91" s="5"/>
      <c r="K91" s="2"/>
      <c r="L91" s="5"/>
      <c r="M91" s="2"/>
    </row>
    <row r="92" spans="2:13" x14ac:dyDescent="0.25">
      <c r="B92" s="9"/>
      <c r="C92" s="5"/>
      <c r="D92" s="5"/>
      <c r="E92" s="10">
        <f t="shared" si="2"/>
        <v>0</v>
      </c>
      <c r="F92" s="3">
        <f t="shared" si="3"/>
        <v>0</v>
      </c>
      <c r="G92" s="3">
        <f t="shared" si="3"/>
        <v>0</v>
      </c>
      <c r="H92" s="28"/>
      <c r="I92" s="2"/>
      <c r="J92" s="5"/>
      <c r="K92" s="2"/>
      <c r="L92" s="5"/>
      <c r="M92" s="2"/>
    </row>
    <row r="93" spans="2:13" x14ac:dyDescent="0.25">
      <c r="B93" s="9"/>
      <c r="C93" s="5"/>
      <c r="D93" s="5"/>
      <c r="E93" s="10">
        <f t="shared" si="2"/>
        <v>0</v>
      </c>
      <c r="F93" s="3">
        <f t="shared" si="3"/>
        <v>0</v>
      </c>
      <c r="G93" s="3">
        <f t="shared" si="3"/>
        <v>0</v>
      </c>
      <c r="H93" s="28"/>
      <c r="I93" s="2"/>
      <c r="J93" s="5"/>
      <c r="K93" s="2"/>
      <c r="L93" s="5"/>
      <c r="M93" s="2"/>
    </row>
    <row r="94" spans="2:13" x14ac:dyDescent="0.25">
      <c r="B94" s="9"/>
      <c r="C94" s="5"/>
      <c r="D94" s="5"/>
      <c r="E94" s="10">
        <f t="shared" si="2"/>
        <v>0</v>
      </c>
      <c r="F94" s="3">
        <f t="shared" si="3"/>
        <v>0</v>
      </c>
      <c r="G94" s="3">
        <f t="shared" si="3"/>
        <v>0</v>
      </c>
      <c r="H94" s="28"/>
      <c r="I94" s="2"/>
      <c r="J94" s="5"/>
      <c r="K94" s="2"/>
      <c r="L94" s="5"/>
      <c r="M94" s="2"/>
    </row>
    <row r="95" spans="2:13" x14ac:dyDescent="0.25">
      <c r="B95" s="9"/>
      <c r="C95" s="5"/>
      <c r="D95" s="5"/>
      <c r="E95" s="10">
        <f t="shared" si="2"/>
        <v>0</v>
      </c>
      <c r="F95" s="3">
        <f t="shared" si="3"/>
        <v>0</v>
      </c>
      <c r="G95" s="3">
        <f t="shared" si="3"/>
        <v>0</v>
      </c>
      <c r="H95" s="28"/>
      <c r="I95" s="2"/>
      <c r="J95" s="5"/>
      <c r="K95" s="2"/>
      <c r="L95" s="5"/>
      <c r="M95" s="2"/>
    </row>
    <row r="96" spans="2:13" x14ac:dyDescent="0.25">
      <c r="B96" s="9"/>
      <c r="C96" s="5"/>
      <c r="D96" s="5"/>
      <c r="E96" s="10">
        <f t="shared" si="2"/>
        <v>0</v>
      </c>
      <c r="F96" s="3">
        <f t="shared" si="3"/>
        <v>0</v>
      </c>
      <c r="G96" s="3">
        <f t="shared" si="3"/>
        <v>0</v>
      </c>
      <c r="H96" s="28"/>
      <c r="I96" s="2"/>
      <c r="J96" s="5"/>
      <c r="K96" s="2"/>
      <c r="L96" s="5"/>
      <c r="M96" s="2"/>
    </row>
    <row r="97" spans="1:13" x14ac:dyDescent="0.25">
      <c r="B97" s="9"/>
      <c r="C97" s="5"/>
      <c r="D97" s="5"/>
      <c r="E97" s="10">
        <f t="shared" si="2"/>
        <v>0</v>
      </c>
      <c r="F97" s="3">
        <f t="shared" si="3"/>
        <v>0</v>
      </c>
      <c r="G97" s="3">
        <f t="shared" si="3"/>
        <v>0</v>
      </c>
      <c r="H97" s="28"/>
      <c r="I97" s="2"/>
      <c r="J97" s="5"/>
      <c r="K97" s="2"/>
      <c r="L97" s="5"/>
      <c r="M97" s="2"/>
    </row>
    <row r="98" spans="1:13" x14ac:dyDescent="0.25">
      <c r="B98" s="9"/>
      <c r="C98" s="5"/>
      <c r="D98" s="5"/>
      <c r="E98" s="10">
        <f t="shared" si="2"/>
        <v>0</v>
      </c>
      <c r="F98" s="3">
        <f t="shared" si="3"/>
        <v>0</v>
      </c>
      <c r="G98" s="3">
        <f t="shared" si="3"/>
        <v>0</v>
      </c>
      <c r="H98" s="28"/>
      <c r="I98" s="2"/>
      <c r="J98" s="5"/>
      <c r="K98" s="2"/>
      <c r="L98" s="5"/>
      <c r="M98" s="2"/>
    </row>
    <row r="99" spans="1:13" x14ac:dyDescent="0.25">
      <c r="B99" s="9"/>
      <c r="C99" s="5"/>
      <c r="D99" s="5"/>
      <c r="E99" s="10">
        <f t="shared" si="2"/>
        <v>0</v>
      </c>
      <c r="F99" s="3">
        <f t="shared" si="3"/>
        <v>0</v>
      </c>
      <c r="G99" s="3">
        <f t="shared" si="3"/>
        <v>0</v>
      </c>
      <c r="H99" s="28"/>
      <c r="I99" s="2"/>
      <c r="J99" s="5"/>
      <c r="K99" s="2"/>
      <c r="L99" s="5"/>
      <c r="M99" s="2"/>
    </row>
    <row r="100" spans="1:13" x14ac:dyDescent="0.25">
      <c r="B100" s="9"/>
      <c r="C100" s="5"/>
      <c r="D100" s="5"/>
      <c r="E100" s="10">
        <f t="shared" si="2"/>
        <v>0</v>
      </c>
      <c r="F100" s="3">
        <f t="shared" si="3"/>
        <v>0</v>
      </c>
      <c r="G100" s="3">
        <f t="shared" si="3"/>
        <v>0</v>
      </c>
      <c r="H100" s="28"/>
      <c r="I100" s="2"/>
      <c r="J100" s="5"/>
      <c r="K100" s="2"/>
      <c r="L100" s="5"/>
      <c r="M100" s="2"/>
    </row>
    <row r="101" spans="1:13" x14ac:dyDescent="0.25">
      <c r="B101" s="9"/>
      <c r="C101" s="5"/>
      <c r="D101" s="5"/>
      <c r="E101" s="10">
        <f t="shared" si="2"/>
        <v>0</v>
      </c>
      <c r="F101" s="3">
        <f t="shared" si="3"/>
        <v>0</v>
      </c>
      <c r="G101" s="3">
        <f t="shared" si="3"/>
        <v>0</v>
      </c>
      <c r="H101" s="28"/>
      <c r="I101" s="2"/>
      <c r="J101" s="5"/>
      <c r="K101" s="2"/>
      <c r="L101" s="5"/>
      <c r="M101" s="2"/>
    </row>
    <row r="102" spans="1:13" x14ac:dyDescent="0.25">
      <c r="B102" s="9"/>
      <c r="C102" s="5"/>
      <c r="D102" s="5"/>
      <c r="E102" s="10">
        <f t="shared" si="2"/>
        <v>0</v>
      </c>
      <c r="F102" s="3">
        <f t="shared" si="3"/>
        <v>0</v>
      </c>
      <c r="G102" s="3">
        <f t="shared" si="3"/>
        <v>0</v>
      </c>
      <c r="H102" s="28"/>
      <c r="I102" s="2"/>
      <c r="J102" s="5"/>
      <c r="K102" s="2"/>
      <c r="L102" s="5"/>
      <c r="M102" s="2"/>
    </row>
    <row r="103" spans="1:13" x14ac:dyDescent="0.25">
      <c r="B103" s="9"/>
      <c r="C103" s="5"/>
      <c r="D103" s="5"/>
      <c r="E103" s="10">
        <f t="shared" si="2"/>
        <v>0</v>
      </c>
      <c r="F103" s="3">
        <f t="shared" si="3"/>
        <v>0</v>
      </c>
      <c r="G103" s="3">
        <f t="shared" si="3"/>
        <v>0</v>
      </c>
      <c r="H103" s="28"/>
      <c r="I103" s="45"/>
      <c r="J103" s="5"/>
      <c r="K103" s="2"/>
      <c r="L103" s="8"/>
      <c r="M103" s="45"/>
    </row>
    <row r="104" spans="1:13" x14ac:dyDescent="0.25">
      <c r="B104" s="9"/>
      <c r="C104" s="5"/>
      <c r="D104" s="5"/>
      <c r="E104" s="10">
        <f t="shared" si="2"/>
        <v>0</v>
      </c>
      <c r="F104" s="3">
        <f>1/2*$A$108*($B$108)^2*$C$108*B104</f>
        <v>0</v>
      </c>
      <c r="G104" s="3">
        <f t="shared" ref="G104:G138" si="4">1/2*$A$108*($B$108)^2*$C$108*C104</f>
        <v>0</v>
      </c>
      <c r="H104" s="28"/>
      <c r="I104" s="45"/>
      <c r="J104" s="5"/>
      <c r="K104" s="2"/>
      <c r="L104" s="8"/>
      <c r="M104" s="45"/>
    </row>
    <row r="106" spans="1:13" x14ac:dyDescent="0.25">
      <c r="A106" s="57" t="s">
        <v>2</v>
      </c>
      <c r="B106" s="57"/>
      <c r="C106" s="57"/>
    </row>
    <row r="107" spans="1:13" x14ac:dyDescent="0.25">
      <c r="A107" s="1" t="s">
        <v>4</v>
      </c>
      <c r="B107" s="52" t="s">
        <v>5</v>
      </c>
      <c r="C107" s="52" t="s">
        <v>6</v>
      </c>
    </row>
    <row r="108" spans="1:13" x14ac:dyDescent="0.25">
      <c r="A108" s="2">
        <v>1.117</v>
      </c>
      <c r="B108" s="2">
        <v>16</v>
      </c>
      <c r="C108" s="2">
        <v>0.75871599999999995</v>
      </c>
    </row>
    <row r="109" spans="1:13" x14ac:dyDescent="0.25">
      <c r="A109" s="58" t="s">
        <v>22</v>
      </c>
      <c r="B109" s="58"/>
      <c r="C109" s="58"/>
    </row>
  </sheetData>
  <mergeCells count="3">
    <mergeCell ref="B2:M3"/>
    <mergeCell ref="A106:C106"/>
    <mergeCell ref="A109:C10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FCFD-8DAB-4CAC-A8B6-7D0CDFA58609}">
  <dimension ref="A2:M109"/>
  <sheetViews>
    <sheetView topLeftCell="I1" zoomScale="67" zoomScaleNormal="100" workbookViewId="0">
      <selection activeCell="AF88" sqref="AF88"/>
    </sheetView>
  </sheetViews>
  <sheetFormatPr defaultRowHeight="15" x14ac:dyDescent="0.25"/>
  <cols>
    <col min="2" max="2" width="11.5703125" bestFit="1" customWidth="1"/>
    <col min="3" max="3" width="12" bestFit="1" customWidth="1"/>
    <col min="4" max="4" width="16.28515625" bestFit="1" customWidth="1"/>
    <col min="5" max="5" width="16" bestFit="1" customWidth="1"/>
    <col min="6" max="7" width="19.85546875" bestFit="1" customWidth="1"/>
    <col min="8" max="9" width="26" bestFit="1" customWidth="1"/>
    <col min="10" max="10" width="26" customWidth="1"/>
    <col min="11" max="11" width="20" bestFit="1" customWidth="1"/>
    <col min="12" max="12" width="20" customWidth="1"/>
    <col min="13" max="13" width="19.85546875" bestFit="1" customWidth="1"/>
  </cols>
  <sheetData>
    <row r="2" spans="2:13" x14ac:dyDescent="0.25">
      <c r="B2" s="56" t="s">
        <v>32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2:13" x14ac:dyDescent="0.25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2:13" x14ac:dyDescent="0.25">
      <c r="B4" s="12" t="s">
        <v>25</v>
      </c>
      <c r="C4" s="12" t="s">
        <v>26</v>
      </c>
      <c r="D4" s="12" t="s">
        <v>14</v>
      </c>
      <c r="E4" s="12" t="s">
        <v>15</v>
      </c>
      <c r="F4" s="18" t="s">
        <v>27</v>
      </c>
      <c r="G4" s="18" t="s">
        <v>28</v>
      </c>
      <c r="H4" s="18" t="s">
        <v>29</v>
      </c>
      <c r="I4" s="18" t="s">
        <v>30</v>
      </c>
      <c r="J4" s="12" t="s">
        <v>31</v>
      </c>
      <c r="K4" s="12" t="s">
        <v>33</v>
      </c>
      <c r="L4" s="12" t="s">
        <v>34</v>
      </c>
      <c r="M4" s="12" t="s">
        <v>35</v>
      </c>
    </row>
    <row r="5" spans="2:13" x14ac:dyDescent="0.25">
      <c r="B5" s="9">
        <v>0.1260855018</v>
      </c>
      <c r="C5" s="5">
        <v>0.33298535340000002</v>
      </c>
      <c r="D5" s="5">
        <v>-0.79928482140000001</v>
      </c>
      <c r="E5" s="10">
        <f>-(D5/$D$5)</f>
        <v>-1</v>
      </c>
      <c r="F5" s="3">
        <f>1/2*$A$108*($B$108)^2*$C$108*B5</f>
        <v>13.677525610365489</v>
      </c>
      <c r="G5" s="3">
        <f>1/2*$A$108*($B$108)^2*$C$108*C5</f>
        <v>36.121644709234154</v>
      </c>
      <c r="H5" s="28">
        <v>1.1564155729999999E-5</v>
      </c>
      <c r="I5" s="26">
        <v>6.2748603459999998E-6</v>
      </c>
      <c r="J5" s="5">
        <v>5.242914649E-3</v>
      </c>
      <c r="K5" s="26">
        <v>1.0646895910000001E-2</v>
      </c>
      <c r="L5" s="8">
        <v>-7.4992404430000004E-6</v>
      </c>
      <c r="M5" s="26">
        <v>-1.522886366E-5</v>
      </c>
    </row>
    <row r="6" spans="2:13" x14ac:dyDescent="0.25">
      <c r="B6" s="9">
        <v>0.2119607329</v>
      </c>
      <c r="C6" s="5">
        <v>0.59170005530000003</v>
      </c>
      <c r="D6" s="5">
        <v>-0.79642851640000001</v>
      </c>
      <c r="E6" s="10">
        <f t="shared" ref="E6:E69" si="0">-(D6/$D$5)</f>
        <v>-0.99642642406871063</v>
      </c>
      <c r="F6" s="3">
        <f t="shared" ref="F6:F69" si="1">1/2*$A$108*($B$108)^2*$C$108*B6</f>
        <v>22.993114285496613</v>
      </c>
      <c r="G6" s="3">
        <f t="shared" ref="G6:G69" si="2">1/2*$A$108*($B$108)^2*$C$108*C6</f>
        <v>64.186544404270492</v>
      </c>
      <c r="H6" s="28">
        <v>5.8023096220000002E-5</v>
      </c>
      <c r="I6" s="26">
        <v>3.3065041400000001E-5</v>
      </c>
      <c r="J6" s="5">
        <v>3.1057613899999999E-2</v>
      </c>
      <c r="K6" s="26">
        <v>6.7419095750000005E-2</v>
      </c>
      <c r="L6" s="8">
        <v>-1.40495795E-4</v>
      </c>
      <c r="M6" s="26">
        <v>-3.0393447629999999E-4</v>
      </c>
    </row>
    <row r="7" spans="2:13" x14ac:dyDescent="0.25">
      <c r="B7" s="9">
        <v>0.29316686539999998</v>
      </c>
      <c r="C7" s="5">
        <v>0.85516958080000005</v>
      </c>
      <c r="D7" s="5">
        <v>-0.79073351660000002</v>
      </c>
      <c r="E7" s="10">
        <f t="shared" si="0"/>
        <v>-0.98930130465254951</v>
      </c>
      <c r="F7" s="3">
        <f t="shared" si="1"/>
        <v>31.802207647787398</v>
      </c>
      <c r="G7" s="3">
        <f t="shared" si="2"/>
        <v>92.76723870402617</v>
      </c>
      <c r="H7" s="28">
        <v>1.5265341239999999E-4</v>
      </c>
      <c r="I7" s="26">
        <v>5.609405956E-5</v>
      </c>
      <c r="J7" s="5">
        <v>8.8627374800000006E-2</v>
      </c>
      <c r="K7" s="26">
        <v>0.20345730670000001</v>
      </c>
      <c r="L7" s="8">
        <v>-7.7043674989999995E-4</v>
      </c>
      <c r="M7" s="26">
        <v>-1.750057532E-3</v>
      </c>
    </row>
    <row r="8" spans="2:13" x14ac:dyDescent="0.25">
      <c r="B8" s="9">
        <v>0.36394337830000001</v>
      </c>
      <c r="C8" s="5">
        <v>1.0974267600000001</v>
      </c>
      <c r="D8" s="5">
        <v>-0.78223493330000005</v>
      </c>
      <c r="E8" s="10">
        <f t="shared" si="0"/>
        <v>-0.97866857014732755</v>
      </c>
      <c r="F8" s="3">
        <f t="shared" si="1"/>
        <v>39.479914870126535</v>
      </c>
      <c r="G8" s="3">
        <f t="shared" si="2"/>
        <v>119.04685630874351</v>
      </c>
      <c r="H8" s="28">
        <v>3.0401119280000001E-4</v>
      </c>
      <c r="I8" s="26">
        <v>4.8064146410000002E-5</v>
      </c>
      <c r="J8" s="5">
        <v>0.1865409837</v>
      </c>
      <c r="K8" s="26">
        <v>0.44809483100000003</v>
      </c>
      <c r="L8" s="8">
        <v>-2.6152187920000002E-3</v>
      </c>
      <c r="M8" s="26">
        <v>-6.1814552929999999E-3</v>
      </c>
    </row>
    <row r="9" spans="2:13" x14ac:dyDescent="0.25">
      <c r="B9" s="9">
        <v>0.42381424150000002</v>
      </c>
      <c r="C9" s="5">
        <v>1.314693407</v>
      </c>
      <c r="D9" s="5">
        <v>-0.7709851633</v>
      </c>
      <c r="E9" s="10">
        <f t="shared" si="0"/>
        <v>-0.96459377515710698</v>
      </c>
      <c r="F9" s="3">
        <f t="shared" si="1"/>
        <v>45.974597074204411</v>
      </c>
      <c r="G9" s="3">
        <f t="shared" si="2"/>
        <v>142.61554649276226</v>
      </c>
      <c r="H9" s="28">
        <v>5.187259983E-4</v>
      </c>
      <c r="I9" s="26">
        <v>-2.3793317739999998E-5</v>
      </c>
      <c r="J9" s="5">
        <v>0.3315918799</v>
      </c>
      <c r="K9" s="26">
        <v>0.82714257739999997</v>
      </c>
      <c r="L9" s="8">
        <v>-6.7966323459999999E-3</v>
      </c>
      <c r="M9" s="26">
        <v>-1.6611822839999998E-2</v>
      </c>
    </row>
    <row r="10" spans="2:13" x14ac:dyDescent="0.25">
      <c r="B10" s="9">
        <v>0.47324963170000001</v>
      </c>
      <c r="C10" s="5">
        <v>1.5035194460000001</v>
      </c>
      <c r="D10" s="5">
        <v>-0.7570535652</v>
      </c>
      <c r="E10" s="10">
        <f t="shared" si="0"/>
        <v>-0.94716369550715451</v>
      </c>
      <c r="F10" s="3">
        <f t="shared" si="1"/>
        <v>51.337258172158741</v>
      </c>
      <c r="G10" s="3">
        <f t="shared" si="2"/>
        <v>163.09905131652127</v>
      </c>
      <c r="H10" s="28">
        <v>8.0325678690000004E-4</v>
      </c>
      <c r="I10" s="2">
        <v>-1.942668347E-4</v>
      </c>
      <c r="J10" s="5">
        <v>0.52911512360000001</v>
      </c>
      <c r="K10" s="2">
        <v>1.3622792459999999</v>
      </c>
      <c r="L10" s="8">
        <v>-1.486726547E-2</v>
      </c>
      <c r="M10" s="2">
        <v>-3.7390771529999998E-2</v>
      </c>
    </row>
    <row r="11" spans="2:13" x14ac:dyDescent="0.25">
      <c r="B11" s="9">
        <v>0.51315745680000002</v>
      </c>
      <c r="C11" s="5">
        <v>1.662501483</v>
      </c>
      <c r="D11" s="5">
        <v>-0.74052603169999998</v>
      </c>
      <c r="E11" s="10">
        <f t="shared" si="0"/>
        <v>-0.92648579314057267</v>
      </c>
      <c r="F11" s="77">
        <f>1/2*$A$108*($B$108)^2*$C$108*B11</f>
        <v>55.666386359514199</v>
      </c>
      <c r="G11" s="3">
        <f t="shared" si="2"/>
        <v>180.34513315473919</v>
      </c>
      <c r="H11" s="28">
        <v>1.164792214E-3</v>
      </c>
      <c r="I11" s="2">
        <v>-4.9817635090000005E-4</v>
      </c>
      <c r="J11" s="5">
        <v>0.78327525090000005</v>
      </c>
      <c r="K11" s="2">
        <v>2.0708724009999999</v>
      </c>
      <c r="L11" s="5">
        <v>-2.8811124399999999E-2</v>
      </c>
      <c r="M11" s="2">
        <v>-7.425642331E-2</v>
      </c>
    </row>
    <row r="12" spans="2:13" x14ac:dyDescent="0.25">
      <c r="B12" s="9">
        <v>0.54463139589999998</v>
      </c>
      <c r="C12" s="5">
        <v>1.791872058</v>
      </c>
      <c r="D12" s="5">
        <v>-0.72150446079999997</v>
      </c>
      <c r="E12" s="10">
        <f t="shared" si="0"/>
        <v>-0.9026875545268549</v>
      </c>
      <c r="F12" s="3">
        <f>1/2*$A$108*($B$108)^2*$C$108*B12</f>
        <v>59.080621953247885</v>
      </c>
      <c r="G12" s="3">
        <f t="shared" si="2"/>
        <v>194.37901752311791</v>
      </c>
      <c r="H12" s="28">
        <v>1.6115869169999999E-3</v>
      </c>
      <c r="I12" s="2">
        <v>-9.6892257849999996E-4</v>
      </c>
      <c r="J12" s="5">
        <v>1.097285632</v>
      </c>
      <c r="K12" s="2">
        <v>2.965965513</v>
      </c>
      <c r="L12" s="5">
        <v>-5.1021448419999997E-2</v>
      </c>
      <c r="M12" s="2">
        <v>-0.13429097870000001</v>
      </c>
    </row>
    <row r="13" spans="2:13" x14ac:dyDescent="0.25">
      <c r="B13" s="9">
        <v>0.56881065580000001</v>
      </c>
      <c r="C13" s="5">
        <v>1.893196884</v>
      </c>
      <c r="D13" s="5">
        <v>-0.70010612670000005</v>
      </c>
      <c r="E13" s="10">
        <f t="shared" si="0"/>
        <v>-0.87591570358325843</v>
      </c>
      <c r="F13" s="3">
        <f>1/2*$A$108*($B$108)^2*$C$108*B13</f>
        <v>61.703544032318625</v>
      </c>
      <c r="G13" s="3">
        <f t="shared" si="2"/>
        <v>205.370550116446</v>
      </c>
      <c r="H13" s="28">
        <v>2.1530009450000001E-3</v>
      </c>
      <c r="I13" s="2">
        <v>-1.637440429E-3</v>
      </c>
      <c r="J13" s="5">
        <v>1.4735598750000001</v>
      </c>
      <c r="K13" s="2">
        <v>4.0564400919999999</v>
      </c>
      <c r="L13" s="5">
        <v>-8.4258353760000002E-2</v>
      </c>
      <c r="M13" s="2">
        <v>-0.22578608359999999</v>
      </c>
    </row>
    <row r="14" spans="2:13" x14ac:dyDescent="0.25">
      <c r="B14" s="9">
        <v>0.58679728379999996</v>
      </c>
      <c r="C14" s="5">
        <v>1.969017577</v>
      </c>
      <c r="D14" s="5">
        <v>-0.67646295729999995</v>
      </c>
      <c r="E14" s="10">
        <f t="shared" si="0"/>
        <v>-0.84633529774171179</v>
      </c>
      <c r="F14" s="3">
        <f t="shared" si="1"/>
        <v>63.654700680799493</v>
      </c>
      <c r="G14" s="3">
        <f t="shared" si="2"/>
        <v>213.59544080965304</v>
      </c>
      <c r="H14" s="28">
        <v>2.7993857630000001E-3</v>
      </c>
      <c r="I14" s="2">
        <v>-2.5313617910000001E-3</v>
      </c>
      <c r="J14" s="5">
        <v>1.9137989470000001</v>
      </c>
      <c r="K14" s="2">
        <v>5.3473120840000004</v>
      </c>
      <c r="L14" s="5">
        <v>-0.131588174</v>
      </c>
      <c r="M14" s="2">
        <v>-0.35802950459999999</v>
      </c>
    </row>
    <row r="15" spans="2:13" x14ac:dyDescent="0.25">
      <c r="B15" s="9">
        <v>0.59960979189999997</v>
      </c>
      <c r="C15" s="5">
        <v>2.0224530949999999</v>
      </c>
      <c r="D15" s="5">
        <v>-0.65072072039999995</v>
      </c>
      <c r="E15" s="10">
        <f t="shared" si="0"/>
        <v>-0.81412870978860796</v>
      </c>
      <c r="F15" s="3">
        <f t="shared" si="1"/>
        <v>65.04457822555274</v>
      </c>
      <c r="G15" s="3">
        <f t="shared" si="2"/>
        <v>219.39202848638263</v>
      </c>
      <c r="H15" s="28">
        <v>3.5618707240000001E-3</v>
      </c>
      <c r="I15" s="2">
        <v>-3.6742900340000001E-3</v>
      </c>
      <c r="J15" s="5">
        <v>2.4190241590000001</v>
      </c>
      <c r="K15" s="2">
        <v>6.8400860269999999</v>
      </c>
      <c r="L15" s="5">
        <v>-0.19630590470000001</v>
      </c>
      <c r="M15" s="2">
        <v>-0.5410267862</v>
      </c>
    </row>
    <row r="16" spans="2:13" x14ac:dyDescent="0.25">
      <c r="B16" s="9">
        <v>0.60816036449999999</v>
      </c>
      <c r="C16" s="5">
        <v>2.0568194709999998</v>
      </c>
      <c r="D16" s="5">
        <v>-0.62303812569999995</v>
      </c>
      <c r="E16" s="10">
        <f t="shared" si="0"/>
        <v>-0.77949450436042012</v>
      </c>
      <c r="F16" s="3">
        <f>1/2*$A$108*($B$108)^2*$C$108*B16</f>
        <v>65.97212876903474</v>
      </c>
      <c r="G16" s="3">
        <f t="shared" si="2"/>
        <v>223.12003036736851</v>
      </c>
      <c r="H16" s="28">
        <v>4.4520672609999999E-3</v>
      </c>
      <c r="I16" s="2">
        <v>-5.0851267889999996E-3</v>
      </c>
      <c r="J16" s="5">
        <v>2.989571556</v>
      </c>
      <c r="K16" s="2">
        <v>8.5330868950000003</v>
      </c>
      <c r="L16" s="5">
        <v>-0.28184214289999998</v>
      </c>
      <c r="M16" s="2">
        <v>-0.78517152069999996</v>
      </c>
    </row>
    <row r="17" spans="2:13" x14ac:dyDescent="0.25">
      <c r="B17" s="9">
        <v>0.61324708250000004</v>
      </c>
      <c r="C17" s="5">
        <v>2.0753258639999999</v>
      </c>
      <c r="D17" s="5">
        <v>-0.59358584550000004</v>
      </c>
      <c r="E17" s="10">
        <f t="shared" si="0"/>
        <v>-0.7426462127233886</v>
      </c>
      <c r="F17" s="3">
        <f t="shared" si="1"/>
        <v>66.523926673825301</v>
      </c>
      <c r="G17" s="3">
        <f t="shared" si="2"/>
        <v>225.12757017646166</v>
      </c>
      <c r="H17" s="28">
        <v>5.4816973109999998E-3</v>
      </c>
      <c r="I17" s="2">
        <v>-6.7774011009999998E-3</v>
      </c>
      <c r="J17" s="5">
        <v>3.6250635259999999</v>
      </c>
      <c r="K17" s="2">
        <v>10.421717109999999</v>
      </c>
      <c r="L17" s="5">
        <v>-0.39165627590000002</v>
      </c>
      <c r="M17" s="2">
        <v>-1.1008768369999999</v>
      </c>
    </row>
    <row r="18" spans="2:13" x14ac:dyDescent="0.25">
      <c r="B18" s="9">
        <v>0.61555563219999998</v>
      </c>
      <c r="C18" s="5">
        <v>2.0808728689999998</v>
      </c>
      <c r="D18" s="5">
        <v>-0.56254546299999997</v>
      </c>
      <c r="E18" s="10">
        <f t="shared" si="0"/>
        <v>-0.70381101697222836</v>
      </c>
      <c r="F18" s="3">
        <f t="shared" si="1"/>
        <v>66.774353940987524</v>
      </c>
      <c r="G18" s="3">
        <f t="shared" si="2"/>
        <v>225.72929917674492</v>
      </c>
      <c r="H18" s="28">
        <v>6.6621506099999997E-3</v>
      </c>
      <c r="I18" s="2">
        <v>-8.7585567150000009E-3</v>
      </c>
      <c r="J18" s="5">
        <v>4.3243706509999997</v>
      </c>
      <c r="K18" s="2">
        <v>12.49862282</v>
      </c>
      <c r="L18" s="5">
        <v>-0.52911825509999999</v>
      </c>
      <c r="M18" s="2">
        <v>-1.4981798369999999</v>
      </c>
    </row>
    <row r="19" spans="2:13" x14ac:dyDescent="0.25">
      <c r="B19" s="9">
        <v>0.61566688629999999</v>
      </c>
      <c r="C19" s="5">
        <v>2.0759455359999999</v>
      </c>
      <c r="D19" s="5">
        <v>-0.53010835219999997</v>
      </c>
      <c r="E19" s="10">
        <f t="shared" si="0"/>
        <v>-0.66322834865233682</v>
      </c>
      <c r="F19" s="3">
        <f t="shared" si="1"/>
        <v>66.786422583141331</v>
      </c>
      <c r="G19" s="3">
        <f t="shared" si="2"/>
        <v>225.19479106648495</v>
      </c>
      <c r="H19" s="28">
        <v>8.0039743670000003E-3</v>
      </c>
      <c r="I19" s="2">
        <v>-1.1029158089999999E-2</v>
      </c>
      <c r="J19" s="5">
        <v>5.0855733689999996</v>
      </c>
      <c r="K19" s="2">
        <v>14.753781099999999</v>
      </c>
      <c r="L19" s="5">
        <v>-0.69738197290000004</v>
      </c>
      <c r="M19" s="2">
        <v>-1.9863305090000001</v>
      </c>
    </row>
    <row r="20" spans="2:13" x14ac:dyDescent="0.25">
      <c r="B20" s="9">
        <v>0.61406767309999999</v>
      </c>
      <c r="C20" s="5">
        <v>2.0625730830000002</v>
      </c>
      <c r="D20" s="5">
        <v>-0.49647449900000001</v>
      </c>
      <c r="E20" s="10">
        <f t="shared" si="0"/>
        <v>-0.62114841381623165</v>
      </c>
      <c r="F20" s="3">
        <f t="shared" si="1"/>
        <v>66.612942847666829</v>
      </c>
      <c r="G20" s="3">
        <f t="shared" si="2"/>
        <v>223.74417171874242</v>
      </c>
      <c r="H20" s="28">
        <v>9.5162935229999995E-3</v>
      </c>
      <c r="I20" s="2">
        <v>-1.3581959919999999E-2</v>
      </c>
      <c r="J20" s="5">
        <v>5.9059300500000003</v>
      </c>
      <c r="K20" s="2">
        <v>17.1745324</v>
      </c>
      <c r="L20" s="5">
        <v>-0.89925390989999998</v>
      </c>
      <c r="M20" s="2">
        <v>-2.5733771029999999</v>
      </c>
    </row>
    <row r="21" spans="2:13" x14ac:dyDescent="0.25">
      <c r="B21" s="9">
        <v>0.61116198659999998</v>
      </c>
      <c r="C21" s="5">
        <v>2.0423154189999999</v>
      </c>
      <c r="D21" s="5">
        <v>-0.46185126710000002</v>
      </c>
      <c r="E21" s="10">
        <f t="shared" si="0"/>
        <v>-0.57783064901825243</v>
      </c>
      <c r="F21" s="3">
        <f t="shared" si="1"/>
        <v>66.297739267936592</v>
      </c>
      <c r="G21" s="3">
        <f t="shared" si="2"/>
        <v>221.54665722095595</v>
      </c>
      <c r="H21" s="28">
        <v>1.1206140870000001E-2</v>
      </c>
      <c r="I21" s="2">
        <v>-1.6400690360000001E-2</v>
      </c>
      <c r="J21" s="5">
        <v>6.7818548060000001</v>
      </c>
      <c r="K21" s="2">
        <v>19.745576920000001</v>
      </c>
      <c r="L21" s="5">
        <v>-1.1370612529999999</v>
      </c>
      <c r="M21" s="2">
        <v>-3.2657604290000002</v>
      </c>
    </row>
    <row r="22" spans="2:13" x14ac:dyDescent="0.25">
      <c r="B22" s="9">
        <v>0.60727725730000004</v>
      </c>
      <c r="C22" s="5">
        <v>2.0162119440000001</v>
      </c>
      <c r="D22" s="5">
        <v>-0.42645212030000001</v>
      </c>
      <c r="E22" s="10">
        <f t="shared" si="0"/>
        <v>-0.53354212276049606</v>
      </c>
      <c r="F22" s="3">
        <f t="shared" si="1"/>
        <v>65.876330908279442</v>
      </c>
      <c r="G22" s="3">
        <f t="shared" si="2"/>
        <v>218.71499979218697</v>
      </c>
      <c r="H22" s="28">
        <v>1.307760964E-2</v>
      </c>
      <c r="I22" s="2">
        <v>-1.945801493E-2</v>
      </c>
      <c r="J22" s="5">
        <v>7.7089002830000002</v>
      </c>
      <c r="K22" s="2">
        <v>22.448919360000001</v>
      </c>
      <c r="L22" s="5">
        <v>-1.412523827</v>
      </c>
      <c r="M22" s="2">
        <v>-4.0679289460000003</v>
      </c>
    </row>
    <row r="23" spans="2:13" x14ac:dyDescent="0.25">
      <c r="B23" s="9">
        <v>0.60264347439999999</v>
      </c>
      <c r="C23" s="5">
        <v>1.9845010519999999</v>
      </c>
      <c r="D23" s="5">
        <v>-0.39049530609999999</v>
      </c>
      <c r="E23" s="10">
        <f t="shared" si="0"/>
        <v>-0.48855588852046727</v>
      </c>
      <c r="F23" s="3">
        <f t="shared" si="1"/>
        <v>65.373666578258721</v>
      </c>
      <c r="G23" s="3">
        <f t="shared" si="2"/>
        <v>215.2750599793961</v>
      </c>
      <c r="H23" s="28">
        <v>1.5130466990000001E-2</v>
      </c>
      <c r="I23" s="2">
        <v>-2.2710353079999999E-2</v>
      </c>
      <c r="J23" s="5">
        <v>8.6817002680000002</v>
      </c>
      <c r="K23" s="2">
        <v>25.263609899999999</v>
      </c>
      <c r="L23" s="5">
        <v>-1.7266327029999999</v>
      </c>
      <c r="M23" s="2">
        <v>-4.9819807870000004</v>
      </c>
    </row>
    <row r="24" spans="2:13" x14ac:dyDescent="0.25">
      <c r="B24" s="9">
        <v>0.59716663550000004</v>
      </c>
      <c r="C24" s="5">
        <v>1.9449970029999999</v>
      </c>
      <c r="D24" s="5">
        <v>-0.35420251019999999</v>
      </c>
      <c r="E24" s="10">
        <f t="shared" si="0"/>
        <v>-0.44314930137118203</v>
      </c>
      <c r="F24" s="3">
        <f t="shared" si="1"/>
        <v>64.779549068718097</v>
      </c>
      <c r="G24" s="3">
        <f t="shared" si="2"/>
        <v>210.98973268801808</v>
      </c>
      <c r="H24" s="28">
        <v>1.735370772E-2</v>
      </c>
      <c r="I24" s="2">
        <v>-2.6079734029999999E-2</v>
      </c>
      <c r="J24" s="5">
        <v>9.6934644379999995</v>
      </c>
      <c r="K24" s="2">
        <v>28.164249649999999</v>
      </c>
      <c r="L24" s="5">
        <v>-2.0795234730000001</v>
      </c>
      <c r="M24" s="2">
        <v>-6.0073008699999999</v>
      </c>
    </row>
    <row r="25" spans="2:13" x14ac:dyDescent="0.25">
      <c r="B25" s="9">
        <v>0.59213246669999997</v>
      </c>
      <c r="C25" s="5">
        <v>1.917292489</v>
      </c>
      <c r="D25" s="5">
        <v>-0.33393164120000002</v>
      </c>
      <c r="E25" s="10">
        <f t="shared" si="0"/>
        <v>-0.41778804283446386</v>
      </c>
      <c r="F25" s="3">
        <f t="shared" si="1"/>
        <v>64.233451605441758</v>
      </c>
      <c r="G25" s="3">
        <f t="shared" si="2"/>
        <v>207.98439746431572</v>
      </c>
      <c r="H25" s="28">
        <v>1.735370772E-2</v>
      </c>
      <c r="I25" s="2">
        <v>-2.6079734029999999E-2</v>
      </c>
      <c r="J25" s="5">
        <v>9.8097331370000003</v>
      </c>
      <c r="K25" s="2">
        <v>28.4956739</v>
      </c>
      <c r="L25" s="5">
        <v>-2.1201035689999999</v>
      </c>
      <c r="M25" s="2">
        <v>-6.1251794249999998</v>
      </c>
    </row>
    <row r="26" spans="2:13" x14ac:dyDescent="0.25">
      <c r="B26" s="9">
        <v>0.59639756659999998</v>
      </c>
      <c r="C26" s="5">
        <v>1.9317418689999999</v>
      </c>
      <c r="D26" s="5">
        <v>-0.32570913600000001</v>
      </c>
      <c r="E26" s="10">
        <f t="shared" si="0"/>
        <v>-0.40750071473833194</v>
      </c>
      <c r="F26" s="3">
        <f t="shared" si="1"/>
        <v>64.696121875062062</v>
      </c>
      <c r="G26" s="3">
        <f t="shared" si="2"/>
        <v>209.55183989173602</v>
      </c>
      <c r="H26" s="28">
        <v>1.735370772E-2</v>
      </c>
      <c r="I26" s="2">
        <v>-2.6079734029999999E-2</v>
      </c>
      <c r="J26" s="5">
        <v>10.15812496</v>
      </c>
      <c r="K26" s="2">
        <v>29.488095040000001</v>
      </c>
      <c r="L26" s="5">
        <v>-2.245132747</v>
      </c>
      <c r="M26" s="2">
        <v>-6.4881275369999996</v>
      </c>
    </row>
    <row r="27" spans="2:13" x14ac:dyDescent="0.25">
      <c r="B27" s="9">
        <v>0.60050265680000003</v>
      </c>
      <c r="C27" s="5">
        <v>1.9505045249999999</v>
      </c>
      <c r="D27" s="5">
        <v>-0.3094665908</v>
      </c>
      <c r="E27" s="10">
        <f t="shared" si="0"/>
        <v>-0.3871793664965999</v>
      </c>
      <c r="F27" s="3">
        <f t="shared" si="1"/>
        <v>65.141434583833487</v>
      </c>
      <c r="G27" s="3">
        <f t="shared" si="2"/>
        <v>211.58717864436713</v>
      </c>
      <c r="H27" s="28">
        <v>1.735370772E-2</v>
      </c>
      <c r="I27" s="2">
        <v>-2.6079734029999999E-2</v>
      </c>
      <c r="J27" s="5">
        <v>10.73261007</v>
      </c>
      <c r="K27" s="2">
        <v>31.126221260000001</v>
      </c>
      <c r="L27" s="5">
        <v>-2.4616824450000001</v>
      </c>
      <c r="M27" s="2">
        <v>-7.1161549959999997</v>
      </c>
    </row>
    <row r="28" spans="2:13" x14ac:dyDescent="0.25">
      <c r="B28" s="9">
        <v>0.60464056379999997</v>
      </c>
      <c r="C28" s="5">
        <v>1.9702218520000001</v>
      </c>
      <c r="D28" s="5">
        <v>-0.28560395109999998</v>
      </c>
      <c r="E28" s="10">
        <f t="shared" si="0"/>
        <v>-0.35732437730988792</v>
      </c>
      <c r="F28" s="3">
        <f t="shared" si="1"/>
        <v>65.590307199303453</v>
      </c>
      <c r="G28" s="3">
        <f t="shared" si="2"/>
        <v>213.72607836844668</v>
      </c>
      <c r="H28" s="28">
        <v>1.735370772E-2</v>
      </c>
      <c r="I28" s="2">
        <v>-2.6079734029999999E-2</v>
      </c>
      <c r="J28" s="5">
        <v>11.52125111</v>
      </c>
      <c r="K28" s="2">
        <v>33.37928144</v>
      </c>
      <c r="L28" s="5">
        <v>-2.7790754240000002</v>
      </c>
      <c r="M28" s="2">
        <v>-8.0357035309999993</v>
      </c>
    </row>
    <row r="29" spans="2:13" x14ac:dyDescent="0.25">
      <c r="B29" s="9">
        <v>0.60879207189999995</v>
      </c>
      <c r="C29" s="5">
        <v>1.9897365789999999</v>
      </c>
      <c r="D29" s="5">
        <v>-0.25470879429999999</v>
      </c>
      <c r="E29" s="10">
        <f t="shared" si="0"/>
        <v>-0.31867087611379979</v>
      </c>
      <c r="F29" s="3">
        <f t="shared" si="1"/>
        <v>66.040655237331322</v>
      </c>
      <c r="G29" s="3">
        <f t="shared" si="2"/>
        <v>215.84300041349809</v>
      </c>
      <c r="H29" s="28">
        <v>1.735370772E-2</v>
      </c>
      <c r="I29" s="2">
        <v>-2.6079734029999999E-2</v>
      </c>
      <c r="J29" s="5">
        <v>12.50658842</v>
      </c>
      <c r="K29" s="2">
        <v>36.200551310000002</v>
      </c>
      <c r="L29" s="5">
        <v>-3.2073239189999998</v>
      </c>
      <c r="M29" s="2">
        <v>-9.2752767140000003</v>
      </c>
    </row>
    <row r="30" spans="2:13" x14ac:dyDescent="0.25">
      <c r="B30" s="9">
        <v>0.6127643465</v>
      </c>
      <c r="C30" s="5">
        <v>2.008042922</v>
      </c>
      <c r="D30" s="5">
        <v>-0.2175418616</v>
      </c>
      <c r="E30" s="10">
        <f t="shared" si="0"/>
        <v>-0.2721706402718384</v>
      </c>
      <c r="F30" s="3">
        <f t="shared" si="1"/>
        <v>66.471560351696382</v>
      </c>
      <c r="G30" s="3">
        <f t="shared" si="2"/>
        <v>217.82883916291914</v>
      </c>
      <c r="H30" s="28">
        <v>1.735370772E-2</v>
      </c>
      <c r="I30" s="2">
        <v>-2.6079734029999999E-2</v>
      </c>
      <c r="J30" s="5">
        <v>13.66579919</v>
      </c>
      <c r="K30" s="2">
        <v>39.5269823</v>
      </c>
      <c r="L30" s="5">
        <v>-3.7552136009999999</v>
      </c>
      <c r="M30" s="2">
        <v>-10.85999382</v>
      </c>
    </row>
    <row r="31" spans="2:13" x14ac:dyDescent="0.25">
      <c r="B31" s="9">
        <v>0.61631092480000005</v>
      </c>
      <c r="C31" s="5">
        <v>2.0240799649999999</v>
      </c>
      <c r="D31" s="5">
        <v>-0.1750183263</v>
      </c>
      <c r="E31" s="10">
        <f t="shared" si="0"/>
        <v>-0.218968659999628</v>
      </c>
      <c r="F31" s="3">
        <f t="shared" si="1"/>
        <v>66.85628670670873</v>
      </c>
      <c r="G31" s="3">
        <f t="shared" si="2"/>
        <v>219.56850838115301</v>
      </c>
      <c r="H31" s="28">
        <v>1.735370772E-2</v>
      </c>
      <c r="I31" s="2">
        <v>-2.6079734029999999E-2</v>
      </c>
      <c r="J31" s="5">
        <v>14.97103194</v>
      </c>
      <c r="K31" s="2">
        <v>43.27973385</v>
      </c>
      <c r="L31" s="5">
        <v>-4.4282368930000002</v>
      </c>
      <c r="M31" s="2">
        <v>-12.80563585</v>
      </c>
    </row>
    <row r="32" spans="2:13" x14ac:dyDescent="0.25">
      <c r="B32" s="9">
        <v>0.61919634970000004</v>
      </c>
      <c r="C32" s="5">
        <v>2.0369182850000001</v>
      </c>
      <c r="D32" s="5">
        <v>-0.128185259</v>
      </c>
      <c r="E32" s="10">
        <f t="shared" si="0"/>
        <v>-0.1603749446604967</v>
      </c>
      <c r="F32" s="3">
        <f t="shared" si="1"/>
        <v>67.169292344971069</v>
      </c>
      <c r="G32" s="3">
        <f t="shared" si="2"/>
        <v>220.96118595381006</v>
      </c>
      <c r="H32" s="28">
        <v>1.735370772E-2</v>
      </c>
      <c r="I32" s="2">
        <v>-2.6079734029999999E-2</v>
      </c>
      <c r="J32" s="5">
        <v>16.390011919999999</v>
      </c>
      <c r="K32" s="2">
        <v>47.36583692</v>
      </c>
      <c r="L32" s="5">
        <v>-5.2266123670000004</v>
      </c>
      <c r="M32" s="2">
        <v>-15.112877770000001</v>
      </c>
    </row>
    <row r="33" spans="2:13" x14ac:dyDescent="0.25">
      <c r="B33" s="9">
        <v>0.62122968649999999</v>
      </c>
      <c r="C33" s="5">
        <v>2.0458547629999999</v>
      </c>
      <c r="D33" s="5">
        <v>-7.8195845180000001E-2</v>
      </c>
      <c r="E33" s="10">
        <f t="shared" si="0"/>
        <v>-9.7832265903704793E-2</v>
      </c>
      <c r="F33" s="3">
        <f t="shared" si="1"/>
        <v>67.389865017954619</v>
      </c>
      <c r="G33" s="3">
        <f t="shared" si="2"/>
        <v>221.93059881227927</v>
      </c>
      <c r="H33" s="28">
        <v>1.735370772E-2</v>
      </c>
      <c r="I33" s="2">
        <v>-2.6079734029999999E-2</v>
      </c>
      <c r="J33" s="5">
        <v>17.88690695</v>
      </c>
      <c r="K33" s="2">
        <v>51.680879869999998</v>
      </c>
      <c r="L33" s="5">
        <v>-6.1436334800000001</v>
      </c>
      <c r="M33" s="2">
        <v>-17.762439149999999</v>
      </c>
    </row>
    <row r="34" spans="2:13" x14ac:dyDescent="0.25">
      <c r="B34" s="9">
        <v>0.62227955260000001</v>
      </c>
      <c r="C34" s="5">
        <v>2.0504334649999998</v>
      </c>
      <c r="D34" s="5">
        <v>-2.6280990130000001E-2</v>
      </c>
      <c r="E34" s="10">
        <f t="shared" si="0"/>
        <v>-3.2880632068011895E-2</v>
      </c>
      <c r="F34" s="3">
        <f t="shared" si="1"/>
        <v>67.50375258048328</v>
      </c>
      <c r="G34" s="3">
        <f t="shared" si="2"/>
        <v>222.42728806658045</v>
      </c>
      <c r="H34" s="28">
        <v>1.735370772E-2</v>
      </c>
      <c r="I34" s="2">
        <v>-2.6079734029999999E-2</v>
      </c>
      <c r="J34" s="5">
        <v>19.423398389999999</v>
      </c>
      <c r="K34" s="2">
        <v>56.112446409999997</v>
      </c>
      <c r="L34" s="5">
        <v>-7.1645657629999997</v>
      </c>
      <c r="M34" s="2">
        <v>-20.711820450000001</v>
      </c>
    </row>
    <row r="35" spans="2:13" x14ac:dyDescent="0.25">
      <c r="B35" s="71">
        <v>0.62227955260000001</v>
      </c>
      <c r="C35" s="72">
        <v>2.0504334649999998</v>
      </c>
      <c r="D35" s="78">
        <v>2.6280990130000001E-2</v>
      </c>
      <c r="E35" s="73">
        <f t="shared" si="0"/>
        <v>3.2880632068011895E-2</v>
      </c>
      <c r="F35" s="74">
        <f t="shared" si="1"/>
        <v>67.50375258048328</v>
      </c>
      <c r="G35" s="74">
        <f t="shared" si="2"/>
        <v>222.42728806658045</v>
      </c>
      <c r="H35" s="75">
        <v>1.735370772E-2</v>
      </c>
      <c r="I35" s="76">
        <v>-2.6079734029999999E-2</v>
      </c>
      <c r="J35" s="72">
        <v>-19.423398389999999</v>
      </c>
      <c r="K35" s="76">
        <v>-56.112446409999997</v>
      </c>
      <c r="L35" s="72">
        <v>-7.1645657629999997</v>
      </c>
      <c r="M35" s="76">
        <v>-20.711820450000001</v>
      </c>
    </row>
    <row r="36" spans="2:13" x14ac:dyDescent="0.25">
      <c r="B36" s="9">
        <v>0.62122968649999999</v>
      </c>
      <c r="C36" s="5">
        <v>2.0458547629999999</v>
      </c>
      <c r="D36" s="8">
        <v>7.8195845180000001E-2</v>
      </c>
      <c r="E36" s="10">
        <f t="shared" si="0"/>
        <v>9.7832265903704793E-2</v>
      </c>
      <c r="F36" s="3">
        <f t="shared" si="1"/>
        <v>67.389865017954619</v>
      </c>
      <c r="G36" s="3">
        <f t="shared" si="2"/>
        <v>221.93059881227927</v>
      </c>
      <c r="H36" s="28">
        <v>1.735370772E-2</v>
      </c>
      <c r="I36" s="2">
        <v>-2.6079734029999999E-2</v>
      </c>
      <c r="J36" s="5">
        <v>-17.88690695</v>
      </c>
      <c r="K36" s="2">
        <v>-51.680879869999998</v>
      </c>
      <c r="L36" s="5">
        <v>-6.1436334800000001</v>
      </c>
      <c r="M36" s="2">
        <v>-17.762439149999999</v>
      </c>
    </row>
    <row r="37" spans="2:13" x14ac:dyDescent="0.25">
      <c r="B37" s="9">
        <v>0.61919634970000004</v>
      </c>
      <c r="C37" s="5">
        <v>2.0369182850000001</v>
      </c>
      <c r="D37" s="8">
        <v>0.128185259</v>
      </c>
      <c r="E37" s="10">
        <f t="shared" si="0"/>
        <v>0.1603749446604967</v>
      </c>
      <c r="F37" s="3">
        <f t="shared" si="1"/>
        <v>67.169292344971069</v>
      </c>
      <c r="G37" s="3">
        <f t="shared" si="2"/>
        <v>220.96118595381006</v>
      </c>
      <c r="H37" s="28">
        <v>1.735370772E-2</v>
      </c>
      <c r="I37" s="2">
        <v>-2.6079734029999999E-2</v>
      </c>
      <c r="J37" s="5">
        <v>-16.390011919999999</v>
      </c>
      <c r="K37" s="2">
        <v>-47.36583692</v>
      </c>
      <c r="L37" s="5">
        <v>-5.2266123670000004</v>
      </c>
      <c r="M37" s="2">
        <v>-15.112877770000001</v>
      </c>
    </row>
    <row r="38" spans="2:13" x14ac:dyDescent="0.25">
      <c r="B38" s="9">
        <v>0.61631092480000005</v>
      </c>
      <c r="C38" s="5">
        <v>2.0240799649999999</v>
      </c>
      <c r="D38" s="8">
        <v>0.1750183263</v>
      </c>
      <c r="E38" s="10">
        <f t="shared" si="0"/>
        <v>0.218968659999628</v>
      </c>
      <c r="F38" s="3">
        <f t="shared" si="1"/>
        <v>66.85628670670873</v>
      </c>
      <c r="G38" s="3">
        <f t="shared" si="2"/>
        <v>219.56850838115301</v>
      </c>
      <c r="H38" s="28">
        <v>1.735370772E-2</v>
      </c>
      <c r="I38" s="2">
        <v>-2.6079734029999999E-2</v>
      </c>
      <c r="J38" s="5">
        <v>-14.97103194</v>
      </c>
      <c r="K38" s="2">
        <v>-43.27973385</v>
      </c>
      <c r="L38" s="5">
        <v>-4.4282368930000002</v>
      </c>
      <c r="M38" s="2">
        <v>-12.80563585</v>
      </c>
    </row>
    <row r="39" spans="2:13" x14ac:dyDescent="0.25">
      <c r="B39" s="9">
        <v>0.6127643465</v>
      </c>
      <c r="C39" s="5">
        <v>2.008042922</v>
      </c>
      <c r="D39" s="8">
        <v>0.2175418616</v>
      </c>
      <c r="E39" s="10">
        <f t="shared" si="0"/>
        <v>0.2721706402718384</v>
      </c>
      <c r="F39" s="3">
        <f t="shared" si="1"/>
        <v>66.471560351696382</v>
      </c>
      <c r="G39" s="3">
        <f t="shared" si="2"/>
        <v>217.82883916291914</v>
      </c>
      <c r="H39" s="28">
        <v>1.735370772E-2</v>
      </c>
      <c r="I39" s="2">
        <v>-2.6079734029999999E-2</v>
      </c>
      <c r="J39" s="5">
        <v>-13.66579919</v>
      </c>
      <c r="K39" s="2">
        <v>-39.5269823</v>
      </c>
      <c r="L39" s="5">
        <v>-3.7552136009999999</v>
      </c>
      <c r="M39" s="2">
        <v>-10.85999382</v>
      </c>
    </row>
    <row r="40" spans="2:13" x14ac:dyDescent="0.25">
      <c r="B40" s="9">
        <v>0.60879207189999995</v>
      </c>
      <c r="C40" s="5">
        <v>1.9897365789999999</v>
      </c>
      <c r="D40" s="8">
        <v>0.25470879429999999</v>
      </c>
      <c r="E40" s="10">
        <f t="shared" si="0"/>
        <v>0.31867087611379979</v>
      </c>
      <c r="F40" s="3">
        <f t="shared" si="1"/>
        <v>66.040655237331322</v>
      </c>
      <c r="G40" s="3">
        <f t="shared" si="2"/>
        <v>215.84300041349809</v>
      </c>
      <c r="H40" s="28">
        <v>1.735370772E-2</v>
      </c>
      <c r="I40" s="2">
        <v>-2.6079734029999999E-2</v>
      </c>
      <c r="J40" s="5">
        <v>-12.50658842</v>
      </c>
      <c r="K40" s="2">
        <v>-36.200551310000002</v>
      </c>
      <c r="L40" s="5">
        <v>-3.2073239189999998</v>
      </c>
      <c r="M40" s="2">
        <v>-9.2752767140000003</v>
      </c>
    </row>
    <row r="41" spans="2:13" x14ac:dyDescent="0.25">
      <c r="B41" s="9">
        <v>0.60464056379999997</v>
      </c>
      <c r="C41" s="5">
        <v>1.9702218520000001</v>
      </c>
      <c r="D41" s="8">
        <v>0.28560395109999998</v>
      </c>
      <c r="E41" s="10">
        <f t="shared" si="0"/>
        <v>0.35732437730988792</v>
      </c>
      <c r="F41" s="3">
        <f t="shared" si="1"/>
        <v>65.590307199303453</v>
      </c>
      <c r="G41" s="3">
        <f t="shared" si="2"/>
        <v>213.72607836844668</v>
      </c>
      <c r="H41" s="28">
        <v>1.735370772E-2</v>
      </c>
      <c r="I41" s="2">
        <v>-2.6079734029999999E-2</v>
      </c>
      <c r="J41" s="5">
        <v>-11.52125111</v>
      </c>
      <c r="K41" s="2">
        <v>-33.37928144</v>
      </c>
      <c r="L41" s="5">
        <v>-2.7790754240000002</v>
      </c>
      <c r="M41" s="2">
        <v>-8.0357035309999993</v>
      </c>
    </row>
    <row r="42" spans="2:13" x14ac:dyDescent="0.25">
      <c r="B42" s="9">
        <v>0.60050265680000003</v>
      </c>
      <c r="C42" s="5">
        <v>1.9505045249999999</v>
      </c>
      <c r="D42" s="8">
        <v>0.3094665908</v>
      </c>
      <c r="E42" s="10">
        <f t="shared" si="0"/>
        <v>0.3871793664965999</v>
      </c>
      <c r="F42" s="3">
        <f t="shared" si="1"/>
        <v>65.141434583833487</v>
      </c>
      <c r="G42" s="3">
        <f t="shared" si="2"/>
        <v>211.58717864436713</v>
      </c>
      <c r="H42" s="28">
        <v>1.735370772E-2</v>
      </c>
      <c r="I42" s="2">
        <v>-2.6079734029999999E-2</v>
      </c>
      <c r="J42" s="5">
        <v>-10.73261007</v>
      </c>
      <c r="K42" s="2">
        <v>-31.126221260000001</v>
      </c>
      <c r="L42" s="5">
        <v>-2.4616824450000001</v>
      </c>
      <c r="M42" s="2">
        <v>-7.1161549959999997</v>
      </c>
    </row>
    <row r="43" spans="2:13" x14ac:dyDescent="0.25">
      <c r="B43" s="9">
        <v>0.59639756659999998</v>
      </c>
      <c r="C43" s="5">
        <v>1.9317418689999999</v>
      </c>
      <c r="D43" s="8">
        <v>0.32570913600000001</v>
      </c>
      <c r="E43" s="10">
        <f t="shared" si="0"/>
        <v>0.40750071473833194</v>
      </c>
      <c r="F43" s="3">
        <f t="shared" si="1"/>
        <v>64.696121875062062</v>
      </c>
      <c r="G43" s="3">
        <f t="shared" si="2"/>
        <v>209.55183989173602</v>
      </c>
      <c r="H43" s="28">
        <v>1.735370772E-2</v>
      </c>
      <c r="I43" s="26">
        <v>-2.6079734029999999E-2</v>
      </c>
      <c r="J43" s="5">
        <v>-10.15812496</v>
      </c>
      <c r="K43" s="2">
        <v>-29.488095040000001</v>
      </c>
      <c r="L43" s="5">
        <v>-2.245132747</v>
      </c>
      <c r="M43" s="2">
        <v>-6.4881275369999996</v>
      </c>
    </row>
    <row r="44" spans="2:13" x14ac:dyDescent="0.25">
      <c r="B44" s="9">
        <v>0.59213246669999997</v>
      </c>
      <c r="C44" s="5">
        <v>1.917292489</v>
      </c>
      <c r="D44" s="8">
        <v>0.33393164120000002</v>
      </c>
      <c r="E44" s="10">
        <f t="shared" si="0"/>
        <v>0.41778804283446386</v>
      </c>
      <c r="F44" s="3">
        <f t="shared" si="1"/>
        <v>64.233451605441758</v>
      </c>
      <c r="G44" s="3">
        <f t="shared" si="2"/>
        <v>207.98439746431572</v>
      </c>
      <c r="H44" s="28">
        <v>1.735370772E-2</v>
      </c>
      <c r="I44" s="2">
        <v>-2.6079734029999999E-2</v>
      </c>
      <c r="J44" s="5">
        <v>-9.8097331370000003</v>
      </c>
      <c r="K44" s="2">
        <v>-28.4956739</v>
      </c>
      <c r="L44" s="5">
        <v>-2.1201035689999999</v>
      </c>
      <c r="M44" s="2">
        <v>-6.1251794249999998</v>
      </c>
    </row>
    <row r="45" spans="2:13" x14ac:dyDescent="0.25">
      <c r="B45" s="9">
        <v>0.59716663550000004</v>
      </c>
      <c r="C45" s="5">
        <v>1.9449970029999999</v>
      </c>
      <c r="D45" s="8">
        <v>0.35420251019999999</v>
      </c>
      <c r="E45" s="10">
        <f t="shared" si="0"/>
        <v>0.44314930137118203</v>
      </c>
      <c r="F45" s="3">
        <f t="shared" si="1"/>
        <v>64.779549068718097</v>
      </c>
      <c r="G45" s="3">
        <f t="shared" si="2"/>
        <v>210.98973268801808</v>
      </c>
      <c r="H45" s="28">
        <v>1.735370772E-2</v>
      </c>
      <c r="I45" s="2">
        <v>-2.6079734029999999E-2</v>
      </c>
      <c r="J45" s="5">
        <v>-9.6934644379999995</v>
      </c>
      <c r="K45" s="2">
        <v>-28.164249649999999</v>
      </c>
      <c r="L45" s="5">
        <v>-2.0795234730000001</v>
      </c>
      <c r="M45" s="2">
        <v>-6.0073008699999999</v>
      </c>
    </row>
    <row r="46" spans="2:13" x14ac:dyDescent="0.25">
      <c r="B46" s="9">
        <v>0.60264347439999999</v>
      </c>
      <c r="C46" s="5">
        <v>1.9845010519999999</v>
      </c>
      <c r="D46" s="8">
        <v>0.39049530609999999</v>
      </c>
      <c r="E46" s="10">
        <f t="shared" si="0"/>
        <v>0.48855588852046727</v>
      </c>
      <c r="F46" s="3">
        <f t="shared" si="1"/>
        <v>65.373666578258721</v>
      </c>
      <c r="G46" s="3">
        <f t="shared" si="2"/>
        <v>215.2750599793961</v>
      </c>
      <c r="H46" s="28">
        <v>1.5130466990000001E-2</v>
      </c>
      <c r="I46" s="2">
        <v>-2.2710353079999999E-2</v>
      </c>
      <c r="J46" s="5">
        <v>-8.6817002680000002</v>
      </c>
      <c r="K46" s="2">
        <v>-25.263609899999999</v>
      </c>
      <c r="L46" s="5">
        <v>-1.7266327029999999</v>
      </c>
      <c r="M46" s="2">
        <v>-4.9819807870000004</v>
      </c>
    </row>
    <row r="47" spans="2:13" x14ac:dyDescent="0.25">
      <c r="B47" s="9">
        <v>0.60727725730000004</v>
      </c>
      <c r="C47" s="5">
        <v>2.0162119440000001</v>
      </c>
      <c r="D47" s="8">
        <v>0.42645212030000001</v>
      </c>
      <c r="E47" s="10">
        <f t="shared" si="0"/>
        <v>0.53354212276049606</v>
      </c>
      <c r="F47" s="3">
        <f t="shared" si="1"/>
        <v>65.876330908279442</v>
      </c>
      <c r="G47" s="3">
        <f t="shared" si="2"/>
        <v>218.71499979218697</v>
      </c>
      <c r="H47" s="28">
        <v>1.307760964E-2</v>
      </c>
      <c r="I47" s="2">
        <v>-1.945801493E-2</v>
      </c>
      <c r="J47" s="5">
        <v>-7.7089002830000002</v>
      </c>
      <c r="K47" s="2">
        <v>-22.448919360000001</v>
      </c>
      <c r="L47" s="5">
        <v>-1.412523827</v>
      </c>
      <c r="M47" s="2">
        <v>-4.0679289460000003</v>
      </c>
    </row>
    <row r="48" spans="2:13" x14ac:dyDescent="0.25">
      <c r="B48" s="9">
        <v>0.61116198659999998</v>
      </c>
      <c r="C48" s="5">
        <v>2.0423154189999999</v>
      </c>
      <c r="D48" s="8">
        <v>0.46185126710000002</v>
      </c>
      <c r="E48" s="10">
        <f t="shared" si="0"/>
        <v>0.57783064901825243</v>
      </c>
      <c r="F48" s="3">
        <f t="shared" si="1"/>
        <v>66.297739267936592</v>
      </c>
      <c r="G48" s="3">
        <f t="shared" si="2"/>
        <v>221.54665722095595</v>
      </c>
      <c r="H48" s="28">
        <v>1.1206140870000001E-2</v>
      </c>
      <c r="I48" s="2">
        <v>-1.6400690360000001E-2</v>
      </c>
      <c r="J48" s="5">
        <v>-6.7818548060000001</v>
      </c>
      <c r="K48" s="2">
        <v>-19.745576920000001</v>
      </c>
      <c r="L48" s="5">
        <v>-1.1370612529999999</v>
      </c>
      <c r="M48" s="2">
        <v>-3.2657604290000002</v>
      </c>
    </row>
    <row r="49" spans="2:13" x14ac:dyDescent="0.25">
      <c r="B49" s="9">
        <v>0.61406767309999999</v>
      </c>
      <c r="C49" s="5">
        <v>2.0625730830000002</v>
      </c>
      <c r="D49" s="8">
        <v>0.49647449900000001</v>
      </c>
      <c r="E49" s="10">
        <f t="shared" si="0"/>
        <v>0.62114841381623165</v>
      </c>
      <c r="F49" s="3">
        <f t="shared" si="1"/>
        <v>66.612942847666829</v>
      </c>
      <c r="G49" s="3">
        <f t="shared" si="2"/>
        <v>223.74417171874242</v>
      </c>
      <c r="H49" s="28">
        <v>9.5162935229999995E-3</v>
      </c>
      <c r="I49" s="2">
        <v>-1.3581959919999999E-2</v>
      </c>
      <c r="J49" s="5">
        <v>-5.9059300500000003</v>
      </c>
      <c r="K49" s="2">
        <v>-17.1745324</v>
      </c>
      <c r="L49" s="5">
        <v>-0.89925390989999998</v>
      </c>
      <c r="M49" s="2">
        <v>-2.5733771029999999</v>
      </c>
    </row>
    <row r="50" spans="2:13" x14ac:dyDescent="0.25">
      <c r="B50" s="9">
        <v>0.61566688629999999</v>
      </c>
      <c r="C50" s="5">
        <v>2.0759455359999999</v>
      </c>
      <c r="D50" s="8">
        <v>0.53010835219999997</v>
      </c>
      <c r="E50" s="10">
        <f t="shared" si="0"/>
        <v>0.66322834865233682</v>
      </c>
      <c r="F50" s="3">
        <f t="shared" si="1"/>
        <v>66.786422583141331</v>
      </c>
      <c r="G50" s="3">
        <f t="shared" si="2"/>
        <v>225.19479106648495</v>
      </c>
      <c r="H50" s="28">
        <v>8.0039743670000003E-3</v>
      </c>
      <c r="I50" s="2">
        <v>-1.1029158089999999E-2</v>
      </c>
      <c r="J50" s="5">
        <v>-5.0855733689999996</v>
      </c>
      <c r="K50" s="2">
        <v>-14.753781099999999</v>
      </c>
      <c r="L50" s="5">
        <v>-0.69738197290000004</v>
      </c>
      <c r="M50" s="2">
        <v>-1.9863305090000001</v>
      </c>
    </row>
    <row r="51" spans="2:13" x14ac:dyDescent="0.25">
      <c r="B51" s="9">
        <v>0.61555563219999998</v>
      </c>
      <c r="C51" s="5">
        <v>2.0808728689999998</v>
      </c>
      <c r="D51" s="8">
        <v>0.56254546299999997</v>
      </c>
      <c r="E51" s="10">
        <f t="shared" si="0"/>
        <v>0.70381101697222836</v>
      </c>
      <c r="F51" s="3">
        <f t="shared" si="1"/>
        <v>66.774353940987524</v>
      </c>
      <c r="G51" s="3">
        <f t="shared" si="2"/>
        <v>225.72929917674492</v>
      </c>
      <c r="H51" s="28">
        <v>6.6621506099999997E-3</v>
      </c>
      <c r="I51" s="2">
        <v>-8.7585567150000009E-3</v>
      </c>
      <c r="J51" s="5">
        <v>-4.3243706509999997</v>
      </c>
      <c r="K51" s="2">
        <v>-12.49862282</v>
      </c>
      <c r="L51" s="5">
        <v>-0.52911825509999999</v>
      </c>
      <c r="M51" s="2">
        <v>-1.4981798369999999</v>
      </c>
    </row>
    <row r="52" spans="2:13" x14ac:dyDescent="0.25">
      <c r="B52" s="9">
        <v>0.61324708250000004</v>
      </c>
      <c r="C52" s="5">
        <v>2.0753258639999999</v>
      </c>
      <c r="D52" s="8">
        <v>0.59358584550000004</v>
      </c>
      <c r="E52" s="10">
        <f t="shared" si="0"/>
        <v>0.7426462127233886</v>
      </c>
      <c r="F52" s="3">
        <f t="shared" si="1"/>
        <v>66.523926673825301</v>
      </c>
      <c r="G52" s="3">
        <f t="shared" si="2"/>
        <v>225.12757017646166</v>
      </c>
      <c r="H52" s="28">
        <v>5.4816973109999998E-3</v>
      </c>
      <c r="I52" s="2">
        <v>-6.7774011009999998E-3</v>
      </c>
      <c r="J52" s="5">
        <v>-3.6250635259999999</v>
      </c>
      <c r="K52" s="2">
        <v>-10.421717109999999</v>
      </c>
      <c r="L52" s="5">
        <v>-0.39165627590000002</v>
      </c>
      <c r="M52" s="2">
        <v>-1.1008768369999999</v>
      </c>
    </row>
    <row r="53" spans="2:13" x14ac:dyDescent="0.25">
      <c r="B53" s="9">
        <v>0.60816036449999999</v>
      </c>
      <c r="C53" s="5">
        <v>2.0568194709999998</v>
      </c>
      <c r="D53" s="8">
        <v>0.62303812569999995</v>
      </c>
      <c r="E53" s="10">
        <f t="shared" si="0"/>
        <v>0.77949450436042012</v>
      </c>
      <c r="F53" s="3">
        <f t="shared" si="1"/>
        <v>65.97212876903474</v>
      </c>
      <c r="G53" s="3">
        <f t="shared" si="2"/>
        <v>223.12003036736851</v>
      </c>
      <c r="H53" s="28">
        <v>4.4520672609999999E-3</v>
      </c>
      <c r="I53" s="2">
        <v>-5.0851267889999996E-3</v>
      </c>
      <c r="J53" s="5">
        <v>-2.989571556</v>
      </c>
      <c r="K53" s="2">
        <v>-8.5330868950000003</v>
      </c>
      <c r="L53" s="5">
        <v>-0.28184214289999998</v>
      </c>
      <c r="M53" s="2">
        <v>-0.78517152069999996</v>
      </c>
    </row>
    <row r="54" spans="2:13" x14ac:dyDescent="0.25">
      <c r="B54" s="9">
        <v>0.59960979189999997</v>
      </c>
      <c r="C54" s="5">
        <v>2.0224530949999999</v>
      </c>
      <c r="D54" s="8">
        <v>0.65072072039999995</v>
      </c>
      <c r="E54" s="10">
        <f t="shared" si="0"/>
        <v>0.81412870978860796</v>
      </c>
      <c r="F54" s="3">
        <f t="shared" si="1"/>
        <v>65.04457822555274</v>
      </c>
      <c r="G54" s="3">
        <f t="shared" si="2"/>
        <v>219.39202848638263</v>
      </c>
      <c r="H54" s="28">
        <v>3.5618707240000001E-3</v>
      </c>
      <c r="I54" s="2">
        <v>-3.6742900340000001E-3</v>
      </c>
      <c r="J54" s="5">
        <v>-2.4190241590000001</v>
      </c>
      <c r="K54" s="2">
        <v>-6.8400860269999999</v>
      </c>
      <c r="L54" s="5">
        <v>-0.19630590470000001</v>
      </c>
      <c r="M54" s="2">
        <v>-0.5410267862</v>
      </c>
    </row>
    <row r="55" spans="2:13" x14ac:dyDescent="0.25">
      <c r="B55" s="65">
        <v>0.58679728379999996</v>
      </c>
      <c r="C55" s="66">
        <v>1.969017577</v>
      </c>
      <c r="D55" s="79">
        <v>0.67646295729999995</v>
      </c>
      <c r="E55" s="67">
        <f t="shared" si="0"/>
        <v>0.84633529774171179</v>
      </c>
      <c r="F55" s="68">
        <f t="shared" si="1"/>
        <v>63.654700680799493</v>
      </c>
      <c r="G55" s="68">
        <f t="shared" si="2"/>
        <v>213.59544080965304</v>
      </c>
      <c r="H55" s="69">
        <v>2.7993857630000001E-3</v>
      </c>
      <c r="I55" s="70">
        <v>-2.5313617910000001E-3</v>
      </c>
      <c r="J55" s="66">
        <v>-1.9137989470000001</v>
      </c>
      <c r="K55" s="70">
        <v>-5.3473120840000004</v>
      </c>
      <c r="L55" s="66">
        <v>-0.131588174</v>
      </c>
      <c r="M55" s="70">
        <v>-0.35802950459999999</v>
      </c>
    </row>
    <row r="56" spans="2:13" x14ac:dyDescent="0.25">
      <c r="B56" s="9">
        <v>0.56881065580000001</v>
      </c>
      <c r="C56" s="5">
        <v>1.893196884</v>
      </c>
      <c r="D56" s="8">
        <v>0.70010612670000005</v>
      </c>
      <c r="E56" s="10">
        <f t="shared" si="0"/>
        <v>0.87591570358325843</v>
      </c>
      <c r="F56" s="3">
        <f t="shared" si="1"/>
        <v>61.703544032318625</v>
      </c>
      <c r="G56" s="3">
        <f t="shared" si="2"/>
        <v>205.370550116446</v>
      </c>
      <c r="H56" s="28">
        <v>2.1530009450000001E-3</v>
      </c>
      <c r="I56" s="2">
        <v>-1.637440429E-3</v>
      </c>
      <c r="J56" s="5">
        <v>-1.4735598750000001</v>
      </c>
      <c r="K56" s="2">
        <v>-4.0564400919999999</v>
      </c>
      <c r="L56" s="5">
        <v>-8.4258353760000002E-2</v>
      </c>
      <c r="M56" s="2">
        <v>-0.22578608359999999</v>
      </c>
    </row>
    <row r="57" spans="2:13" x14ac:dyDescent="0.25">
      <c r="B57" s="9">
        <v>0.54463139589999998</v>
      </c>
      <c r="C57" s="5">
        <v>1.791872058</v>
      </c>
      <c r="D57" s="8">
        <v>0.72150446079999997</v>
      </c>
      <c r="E57" s="10">
        <f t="shared" si="0"/>
        <v>0.9026875545268549</v>
      </c>
      <c r="F57" s="3">
        <f t="shared" si="1"/>
        <v>59.080621953247885</v>
      </c>
      <c r="G57" s="3">
        <f t="shared" si="2"/>
        <v>194.37901752311791</v>
      </c>
      <c r="H57" s="28">
        <v>1.6115869169999999E-3</v>
      </c>
      <c r="I57" s="2">
        <v>-9.6892257849999996E-4</v>
      </c>
      <c r="J57" s="5">
        <v>-1.097285632</v>
      </c>
      <c r="K57" s="2">
        <v>-2.965965513</v>
      </c>
      <c r="L57" s="5">
        <v>-5.1021448419999997E-2</v>
      </c>
      <c r="M57" s="2">
        <v>-0.13429097870000001</v>
      </c>
    </row>
    <row r="58" spans="2:13" x14ac:dyDescent="0.25">
      <c r="B58" s="9">
        <v>0.51315745680000002</v>
      </c>
      <c r="C58" s="5">
        <v>1.662501483</v>
      </c>
      <c r="D58" s="8">
        <v>0.74052603169999998</v>
      </c>
      <c r="E58" s="10">
        <f t="shared" si="0"/>
        <v>0.92648579314057267</v>
      </c>
      <c r="F58" s="3">
        <f t="shared" si="1"/>
        <v>55.666386359514199</v>
      </c>
      <c r="G58" s="3">
        <f t="shared" si="2"/>
        <v>180.34513315473919</v>
      </c>
      <c r="H58" s="28">
        <v>1.164792214E-3</v>
      </c>
      <c r="I58" s="2">
        <v>-4.9817635090000005E-4</v>
      </c>
      <c r="J58" s="5">
        <v>-0.78327525090000005</v>
      </c>
      <c r="K58" s="2">
        <v>-2.0708724009999999</v>
      </c>
      <c r="L58" s="5">
        <v>-2.8811124399999999E-2</v>
      </c>
      <c r="M58" s="2">
        <v>-7.425642331E-2</v>
      </c>
    </row>
    <row r="59" spans="2:13" x14ac:dyDescent="0.25">
      <c r="B59" s="9">
        <v>0.47324963170000001</v>
      </c>
      <c r="C59" s="5">
        <v>1.5035194460000001</v>
      </c>
      <c r="D59" s="8">
        <v>0.7570535652</v>
      </c>
      <c r="E59" s="10">
        <f t="shared" si="0"/>
        <v>0.94716369550715451</v>
      </c>
      <c r="F59" s="3">
        <f t="shared" si="1"/>
        <v>51.337258172158741</v>
      </c>
      <c r="G59" s="3">
        <f t="shared" si="2"/>
        <v>163.09905131652127</v>
      </c>
      <c r="H59" s="28">
        <v>8.0325678690000004E-4</v>
      </c>
      <c r="I59" s="2">
        <v>-1.942668347E-4</v>
      </c>
      <c r="J59" s="5">
        <v>-0.52911512360000001</v>
      </c>
      <c r="K59" s="2">
        <v>-1.3622792459999999</v>
      </c>
      <c r="L59" s="5">
        <v>-1.486726547E-2</v>
      </c>
      <c r="M59" s="2">
        <v>-3.7390771529999998E-2</v>
      </c>
    </row>
    <row r="60" spans="2:13" x14ac:dyDescent="0.25">
      <c r="B60" s="9">
        <v>0.42381424150000002</v>
      </c>
      <c r="C60" s="5">
        <v>1.314693407</v>
      </c>
      <c r="D60" s="8">
        <v>0.7709851633</v>
      </c>
      <c r="E60" s="10">
        <f t="shared" si="0"/>
        <v>0.96459377515710698</v>
      </c>
      <c r="F60" s="3">
        <f t="shared" si="1"/>
        <v>45.974597074204411</v>
      </c>
      <c r="G60" s="3">
        <f t="shared" si="2"/>
        <v>142.61554649276226</v>
      </c>
      <c r="H60" s="28">
        <v>5.187259983E-4</v>
      </c>
      <c r="I60" s="26">
        <v>-2.3793317739999998E-5</v>
      </c>
      <c r="J60" s="5">
        <v>-0.3315918799</v>
      </c>
      <c r="K60" s="2">
        <v>-0.82714257739999997</v>
      </c>
      <c r="L60" s="5">
        <v>-6.7966323459999999E-3</v>
      </c>
      <c r="M60" s="2">
        <v>-1.6611822839999998E-2</v>
      </c>
    </row>
    <row r="61" spans="2:13" x14ac:dyDescent="0.25">
      <c r="B61" s="9">
        <v>0.36394337830000001</v>
      </c>
      <c r="C61" s="5">
        <v>1.0974267600000001</v>
      </c>
      <c r="D61" s="8">
        <v>0.78223493330000005</v>
      </c>
      <c r="E61" s="10">
        <f t="shared" si="0"/>
        <v>0.97866857014732755</v>
      </c>
      <c r="F61" s="3">
        <f t="shared" si="1"/>
        <v>39.479914870126535</v>
      </c>
      <c r="G61" s="3">
        <f t="shared" si="2"/>
        <v>119.04685630874351</v>
      </c>
      <c r="H61" s="28">
        <v>3.0401119280000001E-4</v>
      </c>
      <c r="I61" s="26">
        <v>4.8064146410000002E-5</v>
      </c>
      <c r="J61" s="5">
        <v>-0.1865409837</v>
      </c>
      <c r="K61" s="2">
        <v>-0.44809483100000003</v>
      </c>
      <c r="L61" s="5">
        <v>-2.6152187920000002E-3</v>
      </c>
      <c r="M61" s="2">
        <v>-6.1814552929999999E-3</v>
      </c>
    </row>
    <row r="62" spans="2:13" x14ac:dyDescent="0.25">
      <c r="B62" s="9">
        <v>0.29316686539999998</v>
      </c>
      <c r="C62" s="5">
        <v>0.85516958080000005</v>
      </c>
      <c r="D62" s="8">
        <v>0.79073351660000002</v>
      </c>
      <c r="E62" s="10">
        <f t="shared" si="0"/>
        <v>0.98930130465254951</v>
      </c>
      <c r="F62" s="3">
        <f t="shared" si="1"/>
        <v>31.802207647787398</v>
      </c>
      <c r="G62" s="3">
        <f t="shared" si="2"/>
        <v>92.76723870402617</v>
      </c>
      <c r="H62" s="28">
        <v>1.5265341239999999E-4</v>
      </c>
      <c r="I62" s="26">
        <v>5.609405956E-5</v>
      </c>
      <c r="J62" s="5">
        <v>-8.8627374800000006E-2</v>
      </c>
      <c r="K62" s="2">
        <v>-0.20345730670000001</v>
      </c>
      <c r="L62" s="5">
        <v>-7.7043674989999995E-4</v>
      </c>
      <c r="M62" s="2">
        <v>-1.750057532E-3</v>
      </c>
    </row>
    <row r="63" spans="2:13" x14ac:dyDescent="0.25">
      <c r="B63" s="9">
        <v>0.2119607329</v>
      </c>
      <c r="C63" s="5">
        <v>0.59170005530000003</v>
      </c>
      <c r="D63" s="8">
        <v>0.79642851640000001</v>
      </c>
      <c r="E63" s="10">
        <f t="shared" si="0"/>
        <v>0.99642642406871063</v>
      </c>
      <c r="F63" s="3">
        <f t="shared" si="1"/>
        <v>22.993114285496613</v>
      </c>
      <c r="G63" s="3">
        <f t="shared" si="2"/>
        <v>64.186544404270492</v>
      </c>
      <c r="H63" s="28">
        <v>5.8023096220000002E-5</v>
      </c>
      <c r="I63" s="26">
        <v>3.3065041400000001E-5</v>
      </c>
      <c r="J63" s="5">
        <v>-3.1057613899999999E-2</v>
      </c>
      <c r="K63" s="2">
        <v>-6.7419095750000005E-2</v>
      </c>
      <c r="L63" s="5">
        <v>-1.40495795E-4</v>
      </c>
      <c r="M63" s="2">
        <v>-3.0393447629999999E-4</v>
      </c>
    </row>
    <row r="64" spans="2:13" x14ac:dyDescent="0.25">
      <c r="B64" s="9">
        <v>0.1260855018</v>
      </c>
      <c r="C64" s="5">
        <v>0.33298535340000002</v>
      </c>
      <c r="D64" s="8">
        <v>0.79928482140000001</v>
      </c>
      <c r="E64" s="10">
        <f t="shared" si="0"/>
        <v>1</v>
      </c>
      <c r="F64" s="3">
        <f t="shared" si="1"/>
        <v>13.677525610365489</v>
      </c>
      <c r="G64" s="3">
        <f t="shared" si="2"/>
        <v>36.121644709234154</v>
      </c>
      <c r="H64" s="28">
        <v>1.1564155729999999E-5</v>
      </c>
      <c r="I64" s="26">
        <v>6.2748603459999998E-6</v>
      </c>
      <c r="J64" s="5">
        <v>-5.242914649E-3</v>
      </c>
      <c r="K64" s="2">
        <v>-1.0646895910000001E-2</v>
      </c>
      <c r="L64" s="8">
        <v>-7.4992404430000004E-6</v>
      </c>
      <c r="M64" s="26">
        <v>-1.522886366E-5</v>
      </c>
    </row>
    <row r="65" spans="2:13" x14ac:dyDescent="0.25">
      <c r="B65" s="9">
        <v>0</v>
      </c>
      <c r="C65" s="5">
        <v>0</v>
      </c>
      <c r="D65" s="5"/>
      <c r="E65" s="10">
        <f t="shared" si="0"/>
        <v>0</v>
      </c>
      <c r="F65" s="3">
        <f t="shared" si="1"/>
        <v>0</v>
      </c>
      <c r="G65" s="3">
        <f t="shared" si="2"/>
        <v>0</v>
      </c>
      <c r="H65" s="28"/>
      <c r="I65" s="2">
        <v>0</v>
      </c>
      <c r="J65" s="5">
        <v>0</v>
      </c>
      <c r="K65" s="2">
        <v>0</v>
      </c>
      <c r="L65" s="5">
        <v>0</v>
      </c>
      <c r="M65" s="2">
        <v>0</v>
      </c>
    </row>
    <row r="66" spans="2:13" x14ac:dyDescent="0.25">
      <c r="B66" s="9">
        <v>0</v>
      </c>
      <c r="C66" s="5">
        <v>0</v>
      </c>
      <c r="D66" s="5"/>
      <c r="E66" s="10">
        <f t="shared" si="0"/>
        <v>0</v>
      </c>
      <c r="F66" s="3">
        <f t="shared" si="1"/>
        <v>0</v>
      </c>
      <c r="G66" s="3">
        <f t="shared" si="2"/>
        <v>0</v>
      </c>
      <c r="H66" s="28"/>
      <c r="I66" s="2">
        <v>0</v>
      </c>
      <c r="J66" s="5">
        <v>0</v>
      </c>
      <c r="K66" s="2">
        <v>0</v>
      </c>
      <c r="L66" s="5">
        <v>0</v>
      </c>
      <c r="M66" s="2">
        <v>0</v>
      </c>
    </row>
    <row r="67" spans="2:13" x14ac:dyDescent="0.25">
      <c r="B67" s="9">
        <v>0</v>
      </c>
      <c r="C67" s="5">
        <v>0</v>
      </c>
      <c r="D67" s="5"/>
      <c r="E67" s="10">
        <f t="shared" si="0"/>
        <v>0</v>
      </c>
      <c r="F67" s="3">
        <f t="shared" si="1"/>
        <v>0</v>
      </c>
      <c r="G67" s="3">
        <f t="shared" si="2"/>
        <v>0</v>
      </c>
      <c r="H67" s="28"/>
      <c r="I67" s="2">
        <v>0</v>
      </c>
      <c r="J67" s="5">
        <v>0</v>
      </c>
      <c r="K67" s="2">
        <v>0</v>
      </c>
      <c r="L67" s="5">
        <v>0</v>
      </c>
      <c r="M67" s="2">
        <v>0</v>
      </c>
    </row>
    <row r="68" spans="2:13" x14ac:dyDescent="0.25">
      <c r="B68" s="9">
        <v>0</v>
      </c>
      <c r="C68" s="5">
        <v>0</v>
      </c>
      <c r="D68" s="5"/>
      <c r="E68" s="10">
        <f t="shared" si="0"/>
        <v>0</v>
      </c>
      <c r="F68" s="3">
        <f t="shared" si="1"/>
        <v>0</v>
      </c>
      <c r="G68" s="3">
        <f t="shared" si="2"/>
        <v>0</v>
      </c>
      <c r="H68" s="28"/>
      <c r="I68" s="2">
        <v>0</v>
      </c>
      <c r="J68" s="5">
        <v>0</v>
      </c>
      <c r="K68" s="2">
        <v>0</v>
      </c>
      <c r="L68" s="5">
        <v>0</v>
      </c>
      <c r="M68" s="2">
        <v>0</v>
      </c>
    </row>
    <row r="69" spans="2:13" x14ac:dyDescent="0.25">
      <c r="B69" s="9">
        <v>0</v>
      </c>
      <c r="C69" s="5">
        <v>0</v>
      </c>
      <c r="D69" s="5"/>
      <c r="E69" s="10">
        <f t="shared" si="0"/>
        <v>0</v>
      </c>
      <c r="F69" s="3">
        <f t="shared" si="1"/>
        <v>0</v>
      </c>
      <c r="G69" s="3">
        <f t="shared" si="2"/>
        <v>0</v>
      </c>
      <c r="H69" s="28"/>
      <c r="I69" s="2">
        <v>0</v>
      </c>
      <c r="J69" s="5">
        <v>0</v>
      </c>
      <c r="K69" s="2">
        <v>0</v>
      </c>
      <c r="L69" s="5">
        <v>0</v>
      </c>
      <c r="M69" s="2">
        <v>0</v>
      </c>
    </row>
    <row r="70" spans="2:13" x14ac:dyDescent="0.25">
      <c r="B70" s="9">
        <v>0</v>
      </c>
      <c r="C70" s="5">
        <v>0</v>
      </c>
      <c r="D70" s="5"/>
      <c r="E70" s="10">
        <f t="shared" ref="E70:E104" si="3">-(D70/$D$5)</f>
        <v>0</v>
      </c>
      <c r="F70" s="3">
        <f t="shared" ref="F70:F103" si="4">1/2*$A$108*($B$108)^2*$C$108*B70</f>
        <v>0</v>
      </c>
      <c r="G70" s="3">
        <f t="shared" ref="G70:G104" si="5">1/2*$A$108*($B$108)^2*$C$108*C70</f>
        <v>0</v>
      </c>
      <c r="H70" s="28"/>
      <c r="I70" s="2">
        <v>0</v>
      </c>
      <c r="J70" s="5">
        <v>0</v>
      </c>
      <c r="K70" s="2">
        <v>0</v>
      </c>
      <c r="L70" s="5">
        <v>0</v>
      </c>
      <c r="M70" s="2">
        <v>0</v>
      </c>
    </row>
    <row r="71" spans="2:13" x14ac:dyDescent="0.25">
      <c r="B71" s="9">
        <v>0</v>
      </c>
      <c r="C71" s="5">
        <v>0</v>
      </c>
      <c r="D71" s="5"/>
      <c r="E71" s="10">
        <f t="shared" si="3"/>
        <v>0</v>
      </c>
      <c r="F71" s="3">
        <f t="shared" si="4"/>
        <v>0</v>
      </c>
      <c r="G71" s="3">
        <f t="shared" si="5"/>
        <v>0</v>
      </c>
      <c r="H71" s="28"/>
      <c r="I71" s="2">
        <v>0</v>
      </c>
      <c r="J71" s="5">
        <v>0</v>
      </c>
      <c r="K71" s="2">
        <v>0</v>
      </c>
      <c r="L71" s="5">
        <v>0</v>
      </c>
      <c r="M71" s="2">
        <v>0</v>
      </c>
    </row>
    <row r="72" spans="2:13" x14ac:dyDescent="0.25">
      <c r="B72" s="9">
        <v>0</v>
      </c>
      <c r="C72" s="5">
        <v>0</v>
      </c>
      <c r="D72" s="5"/>
      <c r="E72" s="10">
        <f t="shared" si="3"/>
        <v>0</v>
      </c>
      <c r="F72" s="3">
        <f t="shared" si="4"/>
        <v>0</v>
      </c>
      <c r="G72" s="3">
        <f t="shared" si="5"/>
        <v>0</v>
      </c>
      <c r="H72" s="28"/>
      <c r="I72" s="2">
        <v>0</v>
      </c>
      <c r="J72" s="5">
        <v>0</v>
      </c>
      <c r="K72" s="2">
        <v>0</v>
      </c>
      <c r="L72" s="5">
        <v>0</v>
      </c>
      <c r="M72" s="2">
        <v>0</v>
      </c>
    </row>
    <row r="73" spans="2:13" x14ac:dyDescent="0.25">
      <c r="B73" s="9">
        <v>0</v>
      </c>
      <c r="C73" s="5">
        <v>0</v>
      </c>
      <c r="D73" s="5"/>
      <c r="E73" s="10">
        <f t="shared" si="3"/>
        <v>0</v>
      </c>
      <c r="F73" s="3">
        <f t="shared" si="4"/>
        <v>0</v>
      </c>
      <c r="G73" s="3">
        <f t="shared" si="5"/>
        <v>0</v>
      </c>
      <c r="H73" s="28"/>
      <c r="I73" s="2">
        <v>0</v>
      </c>
      <c r="J73" s="5">
        <v>0</v>
      </c>
      <c r="K73" s="2">
        <v>0</v>
      </c>
      <c r="L73" s="5">
        <v>0</v>
      </c>
      <c r="M73" s="2">
        <v>0</v>
      </c>
    </row>
    <row r="74" spans="2:13" x14ac:dyDescent="0.25">
      <c r="B74" s="9">
        <v>0</v>
      </c>
      <c r="C74" s="5">
        <v>0</v>
      </c>
      <c r="D74" s="5"/>
      <c r="E74" s="10">
        <f t="shared" si="3"/>
        <v>0</v>
      </c>
      <c r="F74" s="3">
        <f t="shared" si="4"/>
        <v>0</v>
      </c>
      <c r="G74" s="3">
        <f t="shared" si="5"/>
        <v>0</v>
      </c>
      <c r="H74" s="28"/>
      <c r="I74" s="2">
        <v>0</v>
      </c>
      <c r="J74" s="5">
        <v>0</v>
      </c>
      <c r="K74" s="2">
        <v>0</v>
      </c>
      <c r="L74" s="5">
        <v>0</v>
      </c>
      <c r="M74" s="2">
        <v>0</v>
      </c>
    </row>
    <row r="75" spans="2:13" x14ac:dyDescent="0.25">
      <c r="B75" s="9"/>
      <c r="C75" s="5"/>
      <c r="D75" s="5"/>
      <c r="E75" s="10">
        <f t="shared" si="3"/>
        <v>0</v>
      </c>
      <c r="F75" s="3">
        <f t="shared" si="4"/>
        <v>0</v>
      </c>
      <c r="G75" s="3">
        <f t="shared" si="5"/>
        <v>0</v>
      </c>
      <c r="H75" s="28"/>
      <c r="I75" s="2"/>
      <c r="J75" s="5"/>
      <c r="K75" s="2"/>
      <c r="L75" s="5"/>
      <c r="M75" s="2"/>
    </row>
    <row r="76" spans="2:13" x14ac:dyDescent="0.25">
      <c r="B76" s="9"/>
      <c r="C76" s="5"/>
      <c r="D76" s="5"/>
      <c r="E76" s="10">
        <f t="shared" si="3"/>
        <v>0</v>
      </c>
      <c r="F76" s="3">
        <f t="shared" si="4"/>
        <v>0</v>
      </c>
      <c r="G76" s="3">
        <f t="shared" si="5"/>
        <v>0</v>
      </c>
      <c r="H76" s="28"/>
      <c r="I76" s="2"/>
      <c r="J76" s="5"/>
      <c r="K76" s="2"/>
      <c r="L76" s="5"/>
      <c r="M76" s="2"/>
    </row>
    <row r="77" spans="2:13" x14ac:dyDescent="0.25">
      <c r="B77" s="9"/>
      <c r="C77" s="5"/>
      <c r="D77" s="5"/>
      <c r="E77" s="10">
        <f t="shared" si="3"/>
        <v>0</v>
      </c>
      <c r="F77" s="3">
        <f t="shared" si="4"/>
        <v>0</v>
      </c>
      <c r="G77" s="3">
        <f t="shared" si="5"/>
        <v>0</v>
      </c>
      <c r="H77" s="28"/>
      <c r="I77" s="2"/>
      <c r="J77" s="5"/>
      <c r="K77" s="2"/>
      <c r="L77" s="5"/>
      <c r="M77" s="2"/>
    </row>
    <row r="78" spans="2:13" x14ac:dyDescent="0.25">
      <c r="B78" s="9"/>
      <c r="C78" s="5"/>
      <c r="D78" s="5"/>
      <c r="E78" s="10">
        <f t="shared" si="3"/>
        <v>0</v>
      </c>
      <c r="F78" s="3">
        <f t="shared" si="4"/>
        <v>0</v>
      </c>
      <c r="G78" s="3">
        <f t="shared" si="5"/>
        <v>0</v>
      </c>
      <c r="H78" s="28"/>
      <c r="I78" s="2"/>
      <c r="J78" s="5"/>
      <c r="K78" s="2"/>
      <c r="L78" s="5"/>
      <c r="M78" s="2"/>
    </row>
    <row r="79" spans="2:13" x14ac:dyDescent="0.25">
      <c r="B79" s="9"/>
      <c r="C79" s="5"/>
      <c r="D79" s="5"/>
      <c r="E79" s="10">
        <f t="shared" si="3"/>
        <v>0</v>
      </c>
      <c r="F79" s="3">
        <f t="shared" si="4"/>
        <v>0</v>
      </c>
      <c r="G79" s="3">
        <f t="shared" si="5"/>
        <v>0</v>
      </c>
      <c r="H79" s="28"/>
      <c r="I79" s="2"/>
      <c r="J79" s="5"/>
      <c r="K79" s="2"/>
      <c r="L79" s="5"/>
      <c r="M79" s="2"/>
    </row>
    <row r="80" spans="2:13" x14ac:dyDescent="0.25">
      <c r="B80" s="9"/>
      <c r="C80" s="5"/>
      <c r="D80" s="5"/>
      <c r="E80" s="10">
        <f t="shared" si="3"/>
        <v>0</v>
      </c>
      <c r="F80" s="3">
        <f t="shared" si="4"/>
        <v>0</v>
      </c>
      <c r="G80" s="3">
        <f t="shared" si="5"/>
        <v>0</v>
      </c>
      <c r="H80" s="28"/>
      <c r="I80" s="2"/>
      <c r="J80" s="5"/>
      <c r="K80" s="2"/>
      <c r="L80" s="5"/>
      <c r="M80" s="2"/>
    </row>
    <row r="81" spans="2:13" x14ac:dyDescent="0.25">
      <c r="B81" s="9"/>
      <c r="C81" s="5"/>
      <c r="D81" s="5"/>
      <c r="E81" s="10">
        <f t="shared" si="3"/>
        <v>0</v>
      </c>
      <c r="F81" s="3">
        <f t="shared" si="4"/>
        <v>0</v>
      </c>
      <c r="G81" s="3">
        <f t="shared" si="5"/>
        <v>0</v>
      </c>
      <c r="H81" s="28"/>
      <c r="I81" s="2"/>
      <c r="J81" s="5"/>
      <c r="K81" s="2"/>
      <c r="L81" s="5"/>
      <c r="M81" s="2"/>
    </row>
    <row r="82" spans="2:13" x14ac:dyDescent="0.25">
      <c r="B82" s="9"/>
      <c r="C82" s="5"/>
      <c r="D82" s="5"/>
      <c r="E82" s="10">
        <f t="shared" si="3"/>
        <v>0</v>
      </c>
      <c r="F82" s="3">
        <f t="shared" si="4"/>
        <v>0</v>
      </c>
      <c r="G82" s="3">
        <f t="shared" si="5"/>
        <v>0</v>
      </c>
      <c r="H82" s="28"/>
      <c r="I82" s="2"/>
      <c r="J82" s="5"/>
      <c r="K82" s="2"/>
      <c r="L82" s="5"/>
      <c r="M82" s="2"/>
    </row>
    <row r="83" spans="2:13" x14ac:dyDescent="0.25">
      <c r="B83" s="9"/>
      <c r="C83" s="5"/>
      <c r="D83" s="5"/>
      <c r="E83" s="10">
        <f t="shared" si="3"/>
        <v>0</v>
      </c>
      <c r="F83" s="3">
        <f t="shared" si="4"/>
        <v>0</v>
      </c>
      <c r="G83" s="3">
        <f t="shared" si="5"/>
        <v>0</v>
      </c>
      <c r="H83" s="28"/>
      <c r="I83" s="2"/>
      <c r="J83" s="5"/>
      <c r="K83" s="2"/>
      <c r="L83" s="5"/>
      <c r="M83" s="2"/>
    </row>
    <row r="84" spans="2:13" x14ac:dyDescent="0.25">
      <c r="B84" s="9"/>
      <c r="C84" s="5"/>
      <c r="D84" s="5"/>
      <c r="E84" s="10">
        <f t="shared" si="3"/>
        <v>0</v>
      </c>
      <c r="F84" s="3">
        <f t="shared" si="4"/>
        <v>0</v>
      </c>
      <c r="G84" s="3">
        <f t="shared" si="5"/>
        <v>0</v>
      </c>
      <c r="H84" s="28"/>
      <c r="I84" s="2"/>
      <c r="J84" s="5"/>
      <c r="K84" s="2"/>
      <c r="L84" s="5"/>
      <c r="M84" s="2"/>
    </row>
    <row r="85" spans="2:13" x14ac:dyDescent="0.25">
      <c r="B85" s="9"/>
      <c r="C85" s="5"/>
      <c r="D85" s="5"/>
      <c r="E85" s="10">
        <f t="shared" si="3"/>
        <v>0</v>
      </c>
      <c r="F85" s="3">
        <f t="shared" si="4"/>
        <v>0</v>
      </c>
      <c r="G85" s="3">
        <f t="shared" si="5"/>
        <v>0</v>
      </c>
      <c r="H85" s="28"/>
      <c r="I85" s="2"/>
      <c r="J85" s="5"/>
      <c r="K85" s="2"/>
      <c r="L85" s="5"/>
      <c r="M85" s="2"/>
    </row>
    <row r="86" spans="2:13" x14ac:dyDescent="0.25">
      <c r="B86" s="9"/>
      <c r="C86" s="5"/>
      <c r="D86" s="5"/>
      <c r="E86" s="10">
        <f t="shared" si="3"/>
        <v>0</v>
      </c>
      <c r="F86" s="3">
        <f t="shared" si="4"/>
        <v>0</v>
      </c>
      <c r="G86" s="3">
        <f t="shared" si="5"/>
        <v>0</v>
      </c>
      <c r="H86" s="28"/>
      <c r="I86" s="2"/>
      <c r="J86" s="5"/>
      <c r="K86" s="2"/>
      <c r="L86" s="5"/>
      <c r="M86" s="2"/>
    </row>
    <row r="87" spans="2:13" x14ac:dyDescent="0.25">
      <c r="B87" s="9"/>
      <c r="C87" s="5"/>
      <c r="D87" s="5"/>
      <c r="E87" s="10">
        <f t="shared" si="3"/>
        <v>0</v>
      </c>
      <c r="F87" s="3">
        <f t="shared" si="4"/>
        <v>0</v>
      </c>
      <c r="G87" s="3">
        <f t="shared" si="5"/>
        <v>0</v>
      </c>
      <c r="H87" s="28"/>
      <c r="I87" s="2"/>
      <c r="J87" s="5"/>
      <c r="K87" s="2"/>
      <c r="L87" s="5"/>
      <c r="M87" s="2"/>
    </row>
    <row r="88" spans="2:13" x14ac:dyDescent="0.25">
      <c r="B88" s="9"/>
      <c r="C88" s="5"/>
      <c r="D88" s="5"/>
      <c r="E88" s="10">
        <f t="shared" si="3"/>
        <v>0</v>
      </c>
      <c r="F88" s="3">
        <f t="shared" si="4"/>
        <v>0</v>
      </c>
      <c r="G88" s="3">
        <f t="shared" si="5"/>
        <v>0</v>
      </c>
      <c r="H88" s="28"/>
      <c r="I88" s="2"/>
      <c r="J88" s="5"/>
      <c r="K88" s="2"/>
      <c r="L88" s="5"/>
      <c r="M88" s="2"/>
    </row>
    <row r="89" spans="2:13" x14ac:dyDescent="0.25">
      <c r="B89" s="9"/>
      <c r="C89" s="5"/>
      <c r="D89" s="5"/>
      <c r="E89" s="10">
        <f t="shared" si="3"/>
        <v>0</v>
      </c>
      <c r="F89" s="3">
        <f t="shared" si="4"/>
        <v>0</v>
      </c>
      <c r="G89" s="3">
        <f t="shared" si="5"/>
        <v>0</v>
      </c>
      <c r="H89" s="28"/>
      <c r="I89" s="2"/>
      <c r="J89" s="5"/>
      <c r="K89" s="2"/>
      <c r="L89" s="5"/>
      <c r="M89" s="2"/>
    </row>
    <row r="90" spans="2:13" x14ac:dyDescent="0.25">
      <c r="B90" s="9"/>
      <c r="C90" s="5"/>
      <c r="D90" s="5"/>
      <c r="E90" s="10">
        <f t="shared" si="3"/>
        <v>0</v>
      </c>
      <c r="F90" s="3">
        <f t="shared" si="4"/>
        <v>0</v>
      </c>
      <c r="G90" s="3">
        <f t="shared" si="5"/>
        <v>0</v>
      </c>
      <c r="H90" s="28"/>
      <c r="I90" s="2"/>
      <c r="J90" s="5"/>
      <c r="K90" s="2"/>
      <c r="L90" s="5"/>
      <c r="M90" s="2"/>
    </row>
    <row r="91" spans="2:13" x14ac:dyDescent="0.25">
      <c r="B91" s="9"/>
      <c r="C91" s="5"/>
      <c r="D91" s="5"/>
      <c r="E91" s="10">
        <f t="shared" si="3"/>
        <v>0</v>
      </c>
      <c r="F91" s="3">
        <f t="shared" si="4"/>
        <v>0</v>
      </c>
      <c r="G91" s="3">
        <f t="shared" si="5"/>
        <v>0</v>
      </c>
      <c r="H91" s="28"/>
      <c r="I91" s="2"/>
      <c r="J91" s="5"/>
      <c r="K91" s="2"/>
      <c r="L91" s="5"/>
      <c r="M91" s="2"/>
    </row>
    <row r="92" spans="2:13" x14ac:dyDescent="0.25">
      <c r="B92" s="9"/>
      <c r="C92" s="5"/>
      <c r="D92" s="5"/>
      <c r="E92" s="10">
        <f t="shared" si="3"/>
        <v>0</v>
      </c>
      <c r="F92" s="3">
        <f t="shared" si="4"/>
        <v>0</v>
      </c>
      <c r="G92" s="3">
        <f t="shared" si="5"/>
        <v>0</v>
      </c>
      <c r="H92" s="28"/>
      <c r="I92" s="2"/>
      <c r="J92" s="5"/>
      <c r="K92" s="2"/>
      <c r="L92" s="5"/>
      <c r="M92" s="2"/>
    </row>
    <row r="93" spans="2:13" x14ac:dyDescent="0.25">
      <c r="B93" s="9"/>
      <c r="C93" s="5"/>
      <c r="D93" s="5"/>
      <c r="E93" s="10">
        <f t="shared" si="3"/>
        <v>0</v>
      </c>
      <c r="F93" s="3">
        <f t="shared" si="4"/>
        <v>0</v>
      </c>
      <c r="G93" s="3">
        <f t="shared" si="5"/>
        <v>0</v>
      </c>
      <c r="H93" s="28"/>
      <c r="I93" s="2"/>
      <c r="J93" s="5"/>
      <c r="K93" s="2"/>
      <c r="L93" s="5"/>
      <c r="M93" s="2"/>
    </row>
    <row r="94" spans="2:13" x14ac:dyDescent="0.25">
      <c r="B94" s="9"/>
      <c r="C94" s="5"/>
      <c r="D94" s="5"/>
      <c r="E94" s="10">
        <f t="shared" si="3"/>
        <v>0</v>
      </c>
      <c r="F94" s="3">
        <f t="shared" si="4"/>
        <v>0</v>
      </c>
      <c r="G94" s="3">
        <f t="shared" si="5"/>
        <v>0</v>
      </c>
      <c r="H94" s="28"/>
      <c r="I94" s="2"/>
      <c r="J94" s="5"/>
      <c r="K94" s="2"/>
      <c r="L94" s="5"/>
      <c r="M94" s="2"/>
    </row>
    <row r="95" spans="2:13" x14ac:dyDescent="0.25">
      <c r="B95" s="9"/>
      <c r="C95" s="5"/>
      <c r="D95" s="5"/>
      <c r="E95" s="10">
        <f t="shared" si="3"/>
        <v>0</v>
      </c>
      <c r="F95" s="3">
        <f t="shared" si="4"/>
        <v>0</v>
      </c>
      <c r="G95" s="3">
        <f t="shared" si="5"/>
        <v>0</v>
      </c>
      <c r="H95" s="28"/>
      <c r="I95" s="2"/>
      <c r="J95" s="5"/>
      <c r="K95" s="2"/>
      <c r="L95" s="5"/>
      <c r="M95" s="2"/>
    </row>
    <row r="96" spans="2:13" x14ac:dyDescent="0.25">
      <c r="B96" s="9"/>
      <c r="C96" s="5"/>
      <c r="D96" s="5"/>
      <c r="E96" s="10">
        <f t="shared" si="3"/>
        <v>0</v>
      </c>
      <c r="F96" s="3">
        <f t="shared" si="4"/>
        <v>0</v>
      </c>
      <c r="G96" s="3">
        <f t="shared" si="5"/>
        <v>0</v>
      </c>
      <c r="H96" s="28"/>
      <c r="I96" s="2"/>
      <c r="J96" s="5"/>
      <c r="K96" s="2"/>
      <c r="L96" s="5"/>
      <c r="M96" s="2"/>
    </row>
    <row r="97" spans="1:13" x14ac:dyDescent="0.25">
      <c r="B97" s="9"/>
      <c r="C97" s="5"/>
      <c r="D97" s="5"/>
      <c r="E97" s="10">
        <f t="shared" si="3"/>
        <v>0</v>
      </c>
      <c r="F97" s="3">
        <f t="shared" si="4"/>
        <v>0</v>
      </c>
      <c r="G97" s="3">
        <f t="shared" si="5"/>
        <v>0</v>
      </c>
      <c r="H97" s="28"/>
      <c r="I97" s="2"/>
      <c r="J97" s="5"/>
      <c r="K97" s="2"/>
      <c r="L97" s="5"/>
      <c r="M97" s="2"/>
    </row>
    <row r="98" spans="1:13" x14ac:dyDescent="0.25">
      <c r="B98" s="9"/>
      <c r="C98" s="5"/>
      <c r="D98" s="5"/>
      <c r="E98" s="10">
        <f t="shared" si="3"/>
        <v>0</v>
      </c>
      <c r="F98" s="3">
        <f t="shared" si="4"/>
        <v>0</v>
      </c>
      <c r="G98" s="3">
        <f t="shared" si="5"/>
        <v>0</v>
      </c>
      <c r="H98" s="28"/>
      <c r="I98" s="2"/>
      <c r="J98" s="5"/>
      <c r="K98" s="2"/>
      <c r="L98" s="5"/>
      <c r="M98" s="2"/>
    </row>
    <row r="99" spans="1:13" x14ac:dyDescent="0.25">
      <c r="B99" s="9"/>
      <c r="C99" s="5"/>
      <c r="D99" s="5"/>
      <c r="E99" s="10">
        <f t="shared" si="3"/>
        <v>0</v>
      </c>
      <c r="F99" s="3">
        <f t="shared" si="4"/>
        <v>0</v>
      </c>
      <c r="G99" s="3">
        <f t="shared" si="5"/>
        <v>0</v>
      </c>
      <c r="H99" s="28"/>
      <c r="I99" s="2"/>
      <c r="J99" s="5"/>
      <c r="K99" s="2"/>
      <c r="L99" s="5"/>
      <c r="M99" s="2"/>
    </row>
    <row r="100" spans="1:13" x14ac:dyDescent="0.25">
      <c r="B100" s="9"/>
      <c r="C100" s="5"/>
      <c r="D100" s="5"/>
      <c r="E100" s="10">
        <f t="shared" si="3"/>
        <v>0</v>
      </c>
      <c r="F100" s="3">
        <f t="shared" si="4"/>
        <v>0</v>
      </c>
      <c r="G100" s="3">
        <f t="shared" si="5"/>
        <v>0</v>
      </c>
      <c r="H100" s="28"/>
      <c r="I100" s="2"/>
      <c r="J100" s="5"/>
      <c r="K100" s="2"/>
      <c r="L100" s="5"/>
      <c r="M100" s="2"/>
    </row>
    <row r="101" spans="1:13" x14ac:dyDescent="0.25">
      <c r="B101" s="9"/>
      <c r="C101" s="5"/>
      <c r="D101" s="5"/>
      <c r="E101" s="10">
        <f t="shared" si="3"/>
        <v>0</v>
      </c>
      <c r="F101" s="3">
        <f t="shared" si="4"/>
        <v>0</v>
      </c>
      <c r="G101" s="3">
        <f t="shared" si="5"/>
        <v>0</v>
      </c>
      <c r="H101" s="28"/>
      <c r="I101" s="2"/>
      <c r="J101" s="5"/>
      <c r="K101" s="2"/>
      <c r="L101" s="5"/>
      <c r="M101" s="2"/>
    </row>
    <row r="102" spans="1:13" x14ac:dyDescent="0.25">
      <c r="B102" s="9"/>
      <c r="C102" s="5"/>
      <c r="D102" s="5"/>
      <c r="E102" s="10">
        <f t="shared" si="3"/>
        <v>0</v>
      </c>
      <c r="F102" s="3">
        <f t="shared" si="4"/>
        <v>0</v>
      </c>
      <c r="G102" s="3">
        <f t="shared" si="5"/>
        <v>0</v>
      </c>
      <c r="H102" s="28"/>
      <c r="I102" s="2"/>
      <c r="J102" s="5"/>
      <c r="K102" s="2"/>
      <c r="L102" s="5"/>
      <c r="M102" s="2"/>
    </row>
    <row r="103" spans="1:13" x14ac:dyDescent="0.25">
      <c r="B103" s="9"/>
      <c r="C103" s="5"/>
      <c r="D103" s="5"/>
      <c r="E103" s="10">
        <f t="shared" si="3"/>
        <v>0</v>
      </c>
      <c r="F103" s="3">
        <f t="shared" si="4"/>
        <v>0</v>
      </c>
      <c r="G103" s="3">
        <f t="shared" si="5"/>
        <v>0</v>
      </c>
      <c r="H103" s="28"/>
      <c r="I103" s="45"/>
      <c r="J103" s="5"/>
      <c r="K103" s="2"/>
      <c r="L103" s="8"/>
      <c r="M103" s="45"/>
    </row>
    <row r="104" spans="1:13" x14ac:dyDescent="0.25">
      <c r="B104" s="9"/>
      <c r="C104" s="5"/>
      <c r="D104" s="5"/>
      <c r="E104" s="10">
        <f t="shared" si="3"/>
        <v>0</v>
      </c>
      <c r="F104" s="3">
        <f>1/2*$A$108*($B$108)^2*$C$108*B104</f>
        <v>0</v>
      </c>
      <c r="G104" s="3">
        <f t="shared" si="5"/>
        <v>0</v>
      </c>
      <c r="H104" s="28"/>
      <c r="I104" s="45"/>
      <c r="J104" s="5"/>
      <c r="K104" s="2"/>
      <c r="L104" s="8"/>
      <c r="M104" s="45"/>
    </row>
    <row r="106" spans="1:13" x14ac:dyDescent="0.25">
      <c r="A106" s="57" t="s">
        <v>2</v>
      </c>
      <c r="B106" s="57"/>
      <c r="C106" s="57"/>
    </row>
    <row r="107" spans="1:13" x14ac:dyDescent="0.25">
      <c r="A107" s="1" t="s">
        <v>4</v>
      </c>
      <c r="B107" s="52" t="s">
        <v>5</v>
      </c>
      <c r="C107" s="52" t="s">
        <v>6</v>
      </c>
    </row>
    <row r="108" spans="1:13" x14ac:dyDescent="0.25">
      <c r="A108" s="2">
        <v>1.117</v>
      </c>
      <c r="B108" s="2">
        <v>16</v>
      </c>
      <c r="C108" s="2">
        <v>0.75871599999999995</v>
      </c>
    </row>
    <row r="109" spans="1:13" x14ac:dyDescent="0.25">
      <c r="A109" s="58" t="s">
        <v>22</v>
      </c>
      <c r="B109" s="58"/>
      <c r="C109" s="58"/>
    </row>
  </sheetData>
  <mergeCells count="3">
    <mergeCell ref="B2:M3"/>
    <mergeCell ref="A106:C106"/>
    <mergeCell ref="A109:C10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07C4-F47D-489E-B079-B323F4C291E1}">
  <dimension ref="A1"/>
  <sheetViews>
    <sheetView tabSelected="1" zoomScale="120" workbookViewId="0">
      <selection activeCell="J10" sqref="J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Distrib. ASA INCD. CRUZEIRO</vt:lpstr>
      <vt:lpstr>Distrib. ASA INCD. ESTOL</vt:lpstr>
      <vt:lpstr>COMP. ASA CRUZ E ESTOL superior</vt:lpstr>
      <vt:lpstr>COMP. ASA CRUZ E ESTOL inferior</vt:lpstr>
      <vt:lpstr>comparativo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Thamyris Oliveira</dc:creator>
  <cp:keywords/>
  <dc:description/>
  <cp:lastModifiedBy>Thamyris Oliveira</cp:lastModifiedBy>
  <cp:revision/>
  <dcterms:created xsi:type="dcterms:W3CDTF">2024-03-17T21:47:01Z</dcterms:created>
  <dcterms:modified xsi:type="dcterms:W3CDTF">2026-05-16T12:30:34Z</dcterms:modified>
  <cp:category/>
  <cp:contentStatus/>
</cp:coreProperties>
</file>